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burns\Downloads\"/>
    </mc:Choice>
  </mc:AlternateContent>
  <xr:revisionPtr revIDLastSave="0" documentId="8_{3ECA88FF-DCCE-442E-9647-2F6E8AD29838}" xr6:coauthVersionLast="47" xr6:coauthVersionMax="47" xr10:uidLastSave="{00000000-0000-0000-0000-000000000000}"/>
  <bookViews>
    <workbookView xWindow="17175" yWindow="-15870" windowWidth="25440" windowHeight="15270" xr2:uid="{8351B9A9-2A04-4410-9EAE-0FAE34D4202D}"/>
  </bookViews>
  <sheets>
    <sheet name="MGA Wed Totals " sheetId="1" r:id="rId1"/>
    <sheet name="Total Wins" sheetId="6" r:id="rId2"/>
    <sheet name="Sheet2" sheetId="8" r:id="rId3"/>
    <sheet name="2Pot" sheetId="9" r:id="rId4"/>
  </sheets>
  <definedNames>
    <definedName name="_xlnm.Print_Area" localSheetId="2">Sheet2!$O$16</definedName>
    <definedName name="_xlnm.Print_Area" localSheetId="1">'Total Wins'!$A$1:$R$93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9" i="1" l="1"/>
  <c r="T58" i="1"/>
  <c r="T57" i="1"/>
  <c r="T56" i="1"/>
  <c r="T55" i="1"/>
  <c r="AA91" i="1"/>
  <c r="AA92" i="1"/>
  <c r="AA93" i="1"/>
  <c r="AA94" i="1"/>
  <c r="BI91" i="1"/>
  <c r="BI92" i="1"/>
  <c r="BI93" i="1"/>
  <c r="BI94" i="1"/>
  <c r="BJ91" i="1"/>
  <c r="BJ92" i="1"/>
  <c r="BJ93" i="1"/>
  <c r="BJ94" i="1"/>
  <c r="A83" i="6"/>
  <c r="A84" i="6"/>
  <c r="A85" i="6"/>
  <c r="A86" i="6"/>
  <c r="A87" i="6"/>
  <c r="A88" i="6"/>
  <c r="A89" i="6"/>
  <c r="A90" i="6"/>
  <c r="B83" i="6"/>
  <c r="B84" i="6"/>
  <c r="B85" i="6"/>
  <c r="B86" i="6"/>
  <c r="B87" i="6"/>
  <c r="B88" i="6"/>
  <c r="B89" i="6"/>
  <c r="B90" i="6"/>
  <c r="D83" i="6"/>
  <c r="D84" i="6"/>
  <c r="D85" i="6"/>
  <c r="D86" i="6"/>
  <c r="D87" i="6"/>
  <c r="D88" i="6"/>
  <c r="D89" i="6"/>
  <c r="D90" i="6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2" i="1"/>
  <c r="AC4" i="1" a="1"/>
  <c r="AC4" i="1" s="1"/>
  <c r="AD4" i="1" a="1"/>
  <c r="AD4" i="1" s="1"/>
  <c r="AE4" i="1" a="1"/>
  <c r="AE4" i="1" s="1"/>
  <c r="AF4" i="1" a="1"/>
  <c r="AF4" i="1" s="1"/>
  <c r="AG4" i="1" a="1"/>
  <c r="AG4" i="1" s="1"/>
  <c r="AH4" i="1" a="1"/>
  <c r="AH4" i="1" s="1"/>
  <c r="AI4" i="1" a="1"/>
  <c r="AI4" i="1" s="1"/>
  <c r="AJ4" i="1" a="1"/>
  <c r="AJ4" i="1" s="1"/>
  <c r="AK4" i="1" a="1"/>
  <c r="AK4" i="1" s="1"/>
  <c r="AL4" i="1" a="1"/>
  <c r="AL4" i="1" s="1"/>
  <c r="AM4" i="1" a="1"/>
  <c r="AM4" i="1" s="1"/>
  <c r="AN4" i="1" a="1"/>
  <c r="AN4" i="1" s="1"/>
  <c r="AO4" i="1" a="1"/>
  <c r="AO4" i="1" s="1"/>
  <c r="AP4" i="1" a="1"/>
  <c r="AP4" i="1" s="1"/>
  <c r="AQ4" i="1" a="1"/>
  <c r="AQ4" i="1" s="1"/>
  <c r="AR4" i="1" a="1"/>
  <c r="AR4" i="1" s="1"/>
  <c r="AS4" i="1" a="1"/>
  <c r="AS4" i="1" s="1"/>
  <c r="AT4" i="1" a="1"/>
  <c r="AT4" i="1" s="1"/>
  <c r="AU4" i="1" a="1"/>
  <c r="AU4" i="1" s="1"/>
  <c r="AV4" i="1" a="1"/>
  <c r="AV4" i="1" s="1"/>
  <c r="AW4" i="1" a="1"/>
  <c r="AW4" i="1" s="1"/>
  <c r="AX4" i="1" a="1"/>
  <c r="AX4" i="1" s="1"/>
  <c r="AY4" i="1" a="1"/>
  <c r="AY4" i="1" s="1"/>
  <c r="AZ4" i="1" a="1"/>
  <c r="AZ4" i="1" s="1"/>
  <c r="BA4" i="1" a="1"/>
  <c r="BA4" i="1" s="1"/>
  <c r="BB4" i="1" a="1"/>
  <c r="BB4" i="1" s="1"/>
  <c r="BC4" i="1" a="1"/>
  <c r="BC4" i="1" s="1"/>
  <c r="BD4" i="1" a="1"/>
  <c r="BD4" i="1" s="1"/>
  <c r="BE4" i="1" a="1"/>
  <c r="BE4" i="1" s="1"/>
  <c r="BF4" i="1" a="1"/>
  <c r="BF4" i="1" s="1"/>
  <c r="BG4" i="1" a="1"/>
  <c r="BG4" i="1" s="1"/>
  <c r="AE5" i="1" a="1"/>
  <c r="AE5" i="1" s="1"/>
  <c r="AG5" i="1" a="1"/>
  <c r="AG5" i="1" s="1"/>
  <c r="AH5" i="1" a="1"/>
  <c r="AH5" i="1" s="1"/>
  <c r="AJ5" i="1" a="1"/>
  <c r="AJ5" i="1" s="1"/>
  <c r="AK5" i="1" a="1"/>
  <c r="AK5" i="1" s="1"/>
  <c r="AL5" i="1" a="1"/>
  <c r="AL5" i="1" s="1"/>
  <c r="AM5" i="1" a="1"/>
  <c r="AM5" i="1" s="1"/>
  <c r="AN5" i="1" a="1"/>
  <c r="AN5" i="1" s="1"/>
  <c r="AO5" i="1" a="1"/>
  <c r="AO5" i="1" s="1"/>
  <c r="AP5" i="1" a="1"/>
  <c r="AP5" i="1" s="1"/>
  <c r="AQ5" i="1" a="1"/>
  <c r="AQ5" i="1" s="1"/>
  <c r="AR5" i="1" a="1"/>
  <c r="AR5" i="1" s="1"/>
  <c r="AS5" i="1" a="1"/>
  <c r="AS5" i="1" s="1"/>
  <c r="AT5" i="1" a="1"/>
  <c r="AT5" i="1" s="1"/>
  <c r="AU5" i="1" a="1"/>
  <c r="AU5" i="1" s="1"/>
  <c r="AV5" i="1" a="1"/>
  <c r="AV5" i="1" s="1"/>
  <c r="AW5" i="1" a="1"/>
  <c r="AW5" i="1" s="1"/>
  <c r="AX5" i="1" a="1"/>
  <c r="AX5" i="1" s="1"/>
  <c r="AY5" i="1" a="1"/>
  <c r="AY5" i="1" s="1"/>
  <c r="AZ5" i="1" a="1"/>
  <c r="AZ5" i="1" s="1"/>
  <c r="BA5" i="1" a="1"/>
  <c r="BA5" i="1" s="1"/>
  <c r="BB5" i="1" a="1"/>
  <c r="BB5" i="1" s="1"/>
  <c r="BC5" i="1" a="1"/>
  <c r="BC5" i="1" s="1"/>
  <c r="BD5" i="1" a="1"/>
  <c r="BD5" i="1" s="1"/>
  <c r="BE5" i="1" a="1"/>
  <c r="BE5" i="1" s="1"/>
  <c r="BF5" i="1" a="1"/>
  <c r="BF5" i="1" s="1"/>
  <c r="BG5" i="1" a="1"/>
  <c r="BG5" i="1" s="1"/>
  <c r="AC6" i="1" a="1"/>
  <c r="AC6" i="1" s="1"/>
  <c r="AD6" i="1" a="1"/>
  <c r="AD6" i="1" s="1"/>
  <c r="AE6" i="1" a="1"/>
  <c r="AE6" i="1" s="1"/>
  <c r="AF6" i="1" a="1"/>
  <c r="AF6" i="1" s="1"/>
  <c r="AG6" i="1" a="1"/>
  <c r="AG6" i="1" s="1"/>
  <c r="AH6" i="1" a="1"/>
  <c r="AH6" i="1" s="1"/>
  <c r="AI6" i="1" a="1"/>
  <c r="AI6" i="1" s="1"/>
  <c r="AJ6" i="1" a="1"/>
  <c r="AJ6" i="1" s="1"/>
  <c r="AK6" i="1" a="1"/>
  <c r="AK6" i="1" s="1"/>
  <c r="AL6" i="1" a="1"/>
  <c r="AL6" i="1" s="1"/>
  <c r="AM6" i="1" a="1"/>
  <c r="AM6" i="1" s="1"/>
  <c r="AN6" i="1" a="1"/>
  <c r="AN6" i="1" s="1"/>
  <c r="AO6" i="1" a="1"/>
  <c r="AO6" i="1" s="1"/>
  <c r="AP6" i="1" a="1"/>
  <c r="AP6" i="1" s="1"/>
  <c r="AQ6" i="1" a="1"/>
  <c r="AQ6" i="1" s="1"/>
  <c r="AR6" i="1" a="1"/>
  <c r="AR6" i="1" s="1"/>
  <c r="AS6" i="1" a="1"/>
  <c r="AS6" i="1" s="1"/>
  <c r="AT6" i="1" a="1"/>
  <c r="AT6" i="1" s="1"/>
  <c r="AU6" i="1" a="1"/>
  <c r="AU6" i="1" s="1"/>
  <c r="AV6" i="1" a="1"/>
  <c r="AV6" i="1" s="1"/>
  <c r="AW6" i="1" a="1"/>
  <c r="AW6" i="1" s="1"/>
  <c r="AX6" i="1" a="1"/>
  <c r="AX6" i="1" s="1"/>
  <c r="AY6" i="1" a="1"/>
  <c r="AY6" i="1" s="1"/>
  <c r="AZ6" i="1" a="1"/>
  <c r="AZ6" i="1" s="1"/>
  <c r="BA6" i="1" a="1"/>
  <c r="BA6" i="1" s="1"/>
  <c r="BB6" i="1" a="1"/>
  <c r="BB6" i="1" s="1"/>
  <c r="BC6" i="1" a="1"/>
  <c r="BC6" i="1" s="1"/>
  <c r="BD6" i="1" a="1"/>
  <c r="BD6" i="1" s="1"/>
  <c r="BE6" i="1" a="1"/>
  <c r="BE6" i="1" s="1"/>
  <c r="BF6" i="1" a="1"/>
  <c r="BF6" i="1" s="1"/>
  <c r="BG6" i="1" a="1"/>
  <c r="BG6" i="1" s="1"/>
  <c r="AC7" i="1" a="1"/>
  <c r="AC7" i="1" s="1"/>
  <c r="AD7" i="1" a="1"/>
  <c r="AD7" i="1" s="1"/>
  <c r="AE7" i="1" a="1"/>
  <c r="AE7" i="1" s="1"/>
  <c r="AG7" i="1" a="1"/>
  <c r="AG7" i="1" s="1"/>
  <c r="AH7" i="1" a="1"/>
  <c r="AH7" i="1" s="1"/>
  <c r="AI7" i="1" a="1"/>
  <c r="AI7" i="1" s="1"/>
  <c r="AJ7" i="1" a="1"/>
  <c r="AJ7" i="1" s="1"/>
  <c r="AK7" i="1" a="1"/>
  <c r="AK7" i="1" s="1"/>
  <c r="AL7" i="1" a="1"/>
  <c r="AL7" i="1" s="1"/>
  <c r="AM7" i="1" a="1"/>
  <c r="AM7" i="1" s="1"/>
  <c r="AN7" i="1" a="1"/>
  <c r="AN7" i="1" s="1"/>
  <c r="AO7" i="1" a="1"/>
  <c r="AO7" i="1" s="1"/>
  <c r="AP7" i="1" a="1"/>
  <c r="AP7" i="1" s="1"/>
  <c r="AQ7" i="1" a="1"/>
  <c r="AQ7" i="1" s="1"/>
  <c r="AR7" i="1" a="1"/>
  <c r="AR7" i="1" s="1"/>
  <c r="AS7" i="1" a="1"/>
  <c r="AS7" i="1" s="1"/>
  <c r="AT7" i="1" a="1"/>
  <c r="AT7" i="1" s="1"/>
  <c r="AU7" i="1" a="1"/>
  <c r="AU7" i="1" s="1"/>
  <c r="AV7" i="1" a="1"/>
  <c r="AV7" i="1" s="1"/>
  <c r="AW7" i="1" a="1"/>
  <c r="AW7" i="1" s="1"/>
  <c r="AX7" i="1" a="1"/>
  <c r="AX7" i="1" s="1"/>
  <c r="AY7" i="1" a="1"/>
  <c r="AY7" i="1" s="1"/>
  <c r="AZ7" i="1" a="1"/>
  <c r="AZ7" i="1" s="1"/>
  <c r="BA7" i="1" a="1"/>
  <c r="BA7" i="1" s="1"/>
  <c r="BB7" i="1" a="1"/>
  <c r="BB7" i="1" s="1"/>
  <c r="BC7" i="1" a="1"/>
  <c r="BC7" i="1" s="1"/>
  <c r="BD7" i="1" a="1"/>
  <c r="BD7" i="1" s="1"/>
  <c r="BE7" i="1" a="1"/>
  <c r="BE7" i="1" s="1"/>
  <c r="BF7" i="1" a="1"/>
  <c r="BF7" i="1" s="1"/>
  <c r="BG7" i="1" a="1"/>
  <c r="BG7" i="1" s="1"/>
  <c r="AC8" i="1" a="1"/>
  <c r="AC8" i="1" s="1"/>
  <c r="AK8" i="1" a="1"/>
  <c r="AK8" i="1" s="1"/>
  <c r="AL8" i="1" a="1"/>
  <c r="AL8" i="1" s="1"/>
  <c r="AM8" i="1" a="1"/>
  <c r="AM8" i="1" s="1"/>
  <c r="AN8" i="1" a="1"/>
  <c r="AN8" i="1" s="1"/>
  <c r="AO8" i="1" a="1"/>
  <c r="AO8" i="1" s="1"/>
  <c r="AP8" i="1" a="1"/>
  <c r="AP8" i="1" s="1"/>
  <c r="AQ8" i="1" a="1"/>
  <c r="AQ8" i="1" s="1"/>
  <c r="AR8" i="1" a="1"/>
  <c r="AR8" i="1" s="1"/>
  <c r="AS8" i="1" a="1"/>
  <c r="AS8" i="1" s="1"/>
  <c r="AT8" i="1" a="1"/>
  <c r="AT8" i="1" s="1"/>
  <c r="AU8" i="1" a="1"/>
  <c r="AU8" i="1" s="1"/>
  <c r="AV8" i="1" a="1"/>
  <c r="AV8" i="1" s="1"/>
  <c r="AW8" i="1" a="1"/>
  <c r="AW8" i="1" s="1"/>
  <c r="AX8" i="1" a="1"/>
  <c r="AX8" i="1" s="1"/>
  <c r="AY8" i="1" a="1"/>
  <c r="AY8" i="1" s="1"/>
  <c r="AZ8" i="1" a="1"/>
  <c r="AZ8" i="1" s="1"/>
  <c r="BA8" i="1" a="1"/>
  <c r="BA8" i="1" s="1"/>
  <c r="BB8" i="1" a="1"/>
  <c r="BB8" i="1" s="1"/>
  <c r="BC8" i="1" a="1"/>
  <c r="BC8" i="1" s="1"/>
  <c r="BD8" i="1" a="1"/>
  <c r="BD8" i="1" s="1"/>
  <c r="BE8" i="1" a="1"/>
  <c r="BE8" i="1" s="1"/>
  <c r="BF8" i="1" a="1"/>
  <c r="BF8" i="1" s="1"/>
  <c r="BG8" i="1" a="1"/>
  <c r="BG8" i="1" s="1"/>
  <c r="AC9" i="1" a="1"/>
  <c r="AC9" i="1" s="1"/>
  <c r="AD9" i="1" a="1"/>
  <c r="AD9" i="1" s="1"/>
  <c r="AE9" i="1" a="1"/>
  <c r="AE9" i="1" s="1"/>
  <c r="AF9" i="1" a="1"/>
  <c r="AF9" i="1" s="1"/>
  <c r="AG9" i="1" a="1"/>
  <c r="AG9" i="1" s="1"/>
  <c r="AH9" i="1" a="1"/>
  <c r="AH9" i="1" s="1"/>
  <c r="AI9" i="1" a="1"/>
  <c r="AI9" i="1" s="1"/>
  <c r="AJ9" i="1" a="1"/>
  <c r="AJ9" i="1" s="1"/>
  <c r="AK9" i="1" a="1"/>
  <c r="AK9" i="1" s="1"/>
  <c r="AL9" i="1" a="1"/>
  <c r="AL9" i="1" s="1"/>
  <c r="AM9" i="1" a="1"/>
  <c r="AM9" i="1" s="1"/>
  <c r="AN9" i="1" a="1"/>
  <c r="AN9" i="1" s="1"/>
  <c r="AO9" i="1" a="1"/>
  <c r="AO9" i="1" s="1"/>
  <c r="AP9" i="1" a="1"/>
  <c r="AP9" i="1" s="1"/>
  <c r="AQ9" i="1" a="1"/>
  <c r="AQ9" i="1" s="1"/>
  <c r="AR9" i="1" a="1"/>
  <c r="AR9" i="1" s="1"/>
  <c r="AS9" i="1" a="1"/>
  <c r="AS9" i="1" s="1"/>
  <c r="AT9" i="1" a="1"/>
  <c r="AT9" i="1" s="1"/>
  <c r="AU9" i="1" a="1"/>
  <c r="AU9" i="1" s="1"/>
  <c r="AV9" i="1" a="1"/>
  <c r="AV9" i="1" s="1"/>
  <c r="AW9" i="1" a="1"/>
  <c r="AW9" i="1" s="1"/>
  <c r="AX9" i="1" a="1"/>
  <c r="AX9" i="1" s="1"/>
  <c r="AY9" i="1" a="1"/>
  <c r="AY9" i="1" s="1"/>
  <c r="AZ9" i="1" a="1"/>
  <c r="AZ9" i="1" s="1"/>
  <c r="BA9" i="1" a="1"/>
  <c r="BA9" i="1" s="1"/>
  <c r="BB9" i="1" a="1"/>
  <c r="BB9" i="1" s="1"/>
  <c r="BC9" i="1" a="1"/>
  <c r="BC9" i="1" s="1"/>
  <c r="BD9" i="1" a="1"/>
  <c r="BD9" i="1" s="1"/>
  <c r="BE9" i="1" a="1"/>
  <c r="BE9" i="1" s="1"/>
  <c r="BF9" i="1" a="1"/>
  <c r="BF9" i="1" s="1"/>
  <c r="BG9" i="1" a="1"/>
  <c r="BG9" i="1" s="1"/>
  <c r="AD10" i="1" a="1"/>
  <c r="AD10" i="1" s="1"/>
  <c r="AF10" i="1" a="1"/>
  <c r="AF10" i="1" s="1"/>
  <c r="AG10" i="1" a="1"/>
  <c r="AG10" i="1" s="1"/>
  <c r="AH10" i="1" a="1"/>
  <c r="AH10" i="1" s="1"/>
  <c r="AI10" i="1" a="1"/>
  <c r="AI10" i="1" s="1"/>
  <c r="AJ10" i="1" a="1"/>
  <c r="AJ10" i="1" s="1"/>
  <c r="AK10" i="1" a="1"/>
  <c r="AK10" i="1" s="1"/>
  <c r="AL10" i="1" a="1"/>
  <c r="AL10" i="1" s="1"/>
  <c r="AM10" i="1" a="1"/>
  <c r="AM10" i="1" s="1"/>
  <c r="AN10" i="1" a="1"/>
  <c r="AN10" i="1" s="1"/>
  <c r="AO10" i="1" a="1"/>
  <c r="AO10" i="1" s="1"/>
  <c r="AP10" i="1" a="1"/>
  <c r="AP10" i="1" s="1"/>
  <c r="AQ10" i="1" a="1"/>
  <c r="AQ10" i="1" s="1"/>
  <c r="AR10" i="1" a="1"/>
  <c r="AR10" i="1" s="1"/>
  <c r="AS10" i="1" a="1"/>
  <c r="AS10" i="1" s="1"/>
  <c r="AT10" i="1" a="1"/>
  <c r="AT10" i="1" s="1"/>
  <c r="AU10" i="1" a="1"/>
  <c r="AU10" i="1" s="1"/>
  <c r="AV10" i="1" a="1"/>
  <c r="AV10" i="1" s="1"/>
  <c r="AW10" i="1" a="1"/>
  <c r="AW10" i="1" s="1"/>
  <c r="AX10" i="1" a="1"/>
  <c r="AX10" i="1" s="1"/>
  <c r="AY10" i="1" a="1"/>
  <c r="AY10" i="1" s="1"/>
  <c r="AZ10" i="1" a="1"/>
  <c r="AZ10" i="1" s="1"/>
  <c r="BA10" i="1" a="1"/>
  <c r="BA10" i="1" s="1"/>
  <c r="BB10" i="1" a="1"/>
  <c r="BB10" i="1" s="1"/>
  <c r="BC10" i="1" a="1"/>
  <c r="BC10" i="1" s="1"/>
  <c r="BD10" i="1" a="1"/>
  <c r="BD10" i="1" s="1"/>
  <c r="BE10" i="1" a="1"/>
  <c r="BE10" i="1" s="1"/>
  <c r="BF10" i="1" a="1"/>
  <c r="BF10" i="1" s="1"/>
  <c r="BG10" i="1" a="1"/>
  <c r="BG10" i="1" s="1"/>
  <c r="AC11" i="1" a="1"/>
  <c r="AC11" i="1" s="1"/>
  <c r="AD11" i="1" a="1"/>
  <c r="AD11" i="1" s="1"/>
  <c r="AE11" i="1" a="1"/>
  <c r="AE11" i="1" s="1"/>
  <c r="AG11" i="1" a="1"/>
  <c r="AG11" i="1" s="1"/>
  <c r="AI11" i="1" a="1"/>
  <c r="AI11" i="1" s="1"/>
  <c r="AJ11" i="1" a="1"/>
  <c r="AJ11" i="1" s="1"/>
  <c r="AK11" i="1" a="1"/>
  <c r="AK11" i="1" s="1"/>
  <c r="AL11" i="1" a="1"/>
  <c r="AL11" i="1" s="1"/>
  <c r="AM11" i="1" a="1"/>
  <c r="AM11" i="1" s="1"/>
  <c r="AN11" i="1" a="1"/>
  <c r="AN11" i="1" s="1"/>
  <c r="AO11" i="1" a="1"/>
  <c r="AO11" i="1" s="1"/>
  <c r="AP11" i="1" a="1"/>
  <c r="AP11" i="1" s="1"/>
  <c r="AQ11" i="1" a="1"/>
  <c r="AQ11" i="1" s="1"/>
  <c r="AR11" i="1" a="1"/>
  <c r="AR11" i="1" s="1"/>
  <c r="AS11" i="1" a="1"/>
  <c r="AS11" i="1" s="1"/>
  <c r="AT11" i="1" a="1"/>
  <c r="AT11" i="1" s="1"/>
  <c r="AU11" i="1" a="1"/>
  <c r="AU11" i="1" s="1"/>
  <c r="AV11" i="1" a="1"/>
  <c r="AV11" i="1" s="1"/>
  <c r="AW11" i="1" a="1"/>
  <c r="AW11" i="1" s="1"/>
  <c r="AX11" i="1" a="1"/>
  <c r="AX11" i="1" s="1"/>
  <c r="AY11" i="1" a="1"/>
  <c r="AY11" i="1" s="1"/>
  <c r="AZ11" i="1" a="1"/>
  <c r="AZ11" i="1" s="1"/>
  <c r="BA11" i="1" a="1"/>
  <c r="BA11" i="1" s="1"/>
  <c r="BB11" i="1" a="1"/>
  <c r="BB11" i="1" s="1"/>
  <c r="BC11" i="1" a="1"/>
  <c r="BC11" i="1" s="1"/>
  <c r="BD11" i="1" a="1"/>
  <c r="BD11" i="1" s="1"/>
  <c r="BE11" i="1" a="1"/>
  <c r="BE11" i="1" s="1"/>
  <c r="BF11" i="1" a="1"/>
  <c r="BF11" i="1" s="1"/>
  <c r="BG11" i="1" a="1"/>
  <c r="BG11" i="1" s="1"/>
  <c r="AC12" i="1" a="1"/>
  <c r="AC12" i="1" s="1"/>
  <c r="AD12" i="1" a="1"/>
  <c r="AD12" i="1" s="1"/>
  <c r="AE12" i="1" a="1"/>
  <c r="AE12" i="1" s="1"/>
  <c r="AF12" i="1" a="1"/>
  <c r="AF12" i="1" s="1"/>
  <c r="AG12" i="1" a="1"/>
  <c r="AG12" i="1" s="1"/>
  <c r="AH12" i="1" a="1"/>
  <c r="AH12" i="1" s="1"/>
  <c r="AI12" i="1" a="1"/>
  <c r="AI12" i="1" s="1"/>
  <c r="AJ12" i="1" a="1"/>
  <c r="AJ12" i="1" s="1"/>
  <c r="AK12" i="1" a="1"/>
  <c r="AK12" i="1" s="1"/>
  <c r="AL12" i="1" a="1"/>
  <c r="AL12" i="1" s="1"/>
  <c r="AM12" i="1" a="1"/>
  <c r="AM12" i="1" s="1"/>
  <c r="AN12" i="1" a="1"/>
  <c r="AN12" i="1" s="1"/>
  <c r="AO12" i="1" a="1"/>
  <c r="AO12" i="1" s="1"/>
  <c r="AP12" i="1" a="1"/>
  <c r="AP12" i="1" s="1"/>
  <c r="AQ12" i="1" a="1"/>
  <c r="AQ12" i="1" s="1"/>
  <c r="AR12" i="1" a="1"/>
  <c r="AR12" i="1" s="1"/>
  <c r="AS12" i="1" a="1"/>
  <c r="AS12" i="1" s="1"/>
  <c r="AT12" i="1" a="1"/>
  <c r="AT12" i="1" s="1"/>
  <c r="AU12" i="1" a="1"/>
  <c r="AU12" i="1" s="1"/>
  <c r="AV12" i="1" a="1"/>
  <c r="AV12" i="1" s="1"/>
  <c r="AW12" i="1" a="1"/>
  <c r="AW12" i="1" s="1"/>
  <c r="AX12" i="1" a="1"/>
  <c r="AX12" i="1" s="1"/>
  <c r="AY12" i="1" a="1"/>
  <c r="AY12" i="1" s="1"/>
  <c r="AZ12" i="1" a="1"/>
  <c r="AZ12" i="1" s="1"/>
  <c r="BA12" i="1" a="1"/>
  <c r="BA12" i="1" s="1"/>
  <c r="BB12" i="1" a="1"/>
  <c r="BB12" i="1" s="1"/>
  <c r="BC12" i="1" a="1"/>
  <c r="BC12" i="1" s="1"/>
  <c r="BD12" i="1" a="1"/>
  <c r="BD12" i="1" s="1"/>
  <c r="BE12" i="1" a="1"/>
  <c r="BE12" i="1" s="1"/>
  <c r="BF12" i="1" a="1"/>
  <c r="BF12" i="1" s="1"/>
  <c r="BG12" i="1" a="1"/>
  <c r="BG12" i="1" s="1"/>
  <c r="AF13" i="1" a="1"/>
  <c r="AF13" i="1" s="1"/>
  <c r="AH13" i="1" a="1"/>
  <c r="AH13" i="1" s="1"/>
  <c r="AK13" i="1" a="1"/>
  <c r="AK13" i="1" s="1"/>
  <c r="AL13" i="1" a="1"/>
  <c r="AL13" i="1" s="1"/>
  <c r="AM13" i="1" a="1"/>
  <c r="AM13" i="1" s="1"/>
  <c r="AN13" i="1" a="1"/>
  <c r="AN13" i="1" s="1"/>
  <c r="AO13" i="1" a="1"/>
  <c r="AO13" i="1" s="1"/>
  <c r="AP13" i="1" a="1"/>
  <c r="AP13" i="1" s="1"/>
  <c r="AQ13" i="1" a="1"/>
  <c r="AQ13" i="1" s="1"/>
  <c r="AR13" i="1" a="1"/>
  <c r="AR13" i="1" s="1"/>
  <c r="AS13" i="1" a="1"/>
  <c r="AS13" i="1" s="1"/>
  <c r="AT13" i="1" a="1"/>
  <c r="AT13" i="1" s="1"/>
  <c r="AU13" i="1" a="1"/>
  <c r="AU13" i="1" s="1"/>
  <c r="AV13" i="1" a="1"/>
  <c r="AV13" i="1" s="1"/>
  <c r="AW13" i="1" a="1"/>
  <c r="AW13" i="1" s="1"/>
  <c r="AX13" i="1" a="1"/>
  <c r="AX13" i="1" s="1"/>
  <c r="AY13" i="1" a="1"/>
  <c r="AY13" i="1" s="1"/>
  <c r="AZ13" i="1" a="1"/>
  <c r="AZ13" i="1" s="1"/>
  <c r="BA13" i="1" a="1"/>
  <c r="BA13" i="1" s="1"/>
  <c r="BB13" i="1" a="1"/>
  <c r="BB13" i="1" s="1"/>
  <c r="BC13" i="1" a="1"/>
  <c r="BC13" i="1" s="1"/>
  <c r="BD13" i="1" a="1"/>
  <c r="BD13" i="1" s="1"/>
  <c r="BE13" i="1" a="1"/>
  <c r="BE13" i="1" s="1"/>
  <c r="BF13" i="1" a="1"/>
  <c r="BF13" i="1" s="1"/>
  <c r="BG13" i="1" a="1"/>
  <c r="BG13" i="1" s="1"/>
  <c r="AC14" i="1" a="1"/>
  <c r="AC14" i="1" s="1"/>
  <c r="AD14" i="1" a="1"/>
  <c r="AD14" i="1" s="1"/>
  <c r="AE14" i="1" a="1"/>
  <c r="AE14" i="1" s="1"/>
  <c r="AF14" i="1" a="1"/>
  <c r="AF14" i="1" s="1"/>
  <c r="AG14" i="1" a="1"/>
  <c r="AG14" i="1" s="1"/>
  <c r="AH14" i="1" a="1"/>
  <c r="AH14" i="1" s="1"/>
  <c r="AI14" i="1" a="1"/>
  <c r="AI14" i="1" s="1"/>
  <c r="AJ14" i="1" a="1"/>
  <c r="AJ14" i="1" s="1"/>
  <c r="AK14" i="1" a="1"/>
  <c r="AK14" i="1" s="1"/>
  <c r="AL14" i="1" a="1"/>
  <c r="AL14" i="1" s="1"/>
  <c r="AM14" i="1" a="1"/>
  <c r="AM14" i="1" s="1"/>
  <c r="AN14" i="1" a="1"/>
  <c r="AN14" i="1" s="1"/>
  <c r="AO14" i="1" a="1"/>
  <c r="AO14" i="1" s="1"/>
  <c r="AP14" i="1" a="1"/>
  <c r="AP14" i="1" s="1"/>
  <c r="AQ14" i="1" a="1"/>
  <c r="AQ14" i="1" s="1"/>
  <c r="AR14" i="1" a="1"/>
  <c r="AR14" i="1" s="1"/>
  <c r="AS14" i="1" a="1"/>
  <c r="AS14" i="1" s="1"/>
  <c r="AT14" i="1" a="1"/>
  <c r="AT14" i="1" s="1"/>
  <c r="AU14" i="1" a="1"/>
  <c r="AU14" i="1" s="1"/>
  <c r="AV14" i="1" a="1"/>
  <c r="AV14" i="1" s="1"/>
  <c r="AW14" i="1" a="1"/>
  <c r="AW14" i="1" s="1"/>
  <c r="AX14" i="1" a="1"/>
  <c r="AX14" i="1" s="1"/>
  <c r="AY14" i="1" a="1"/>
  <c r="AY14" i="1" s="1"/>
  <c r="AZ14" i="1" a="1"/>
  <c r="AZ14" i="1" s="1"/>
  <c r="BA14" i="1" a="1"/>
  <c r="BA14" i="1" s="1"/>
  <c r="BB14" i="1" a="1"/>
  <c r="BB14" i="1" s="1"/>
  <c r="BC14" i="1" a="1"/>
  <c r="BC14" i="1" s="1"/>
  <c r="BD14" i="1" a="1"/>
  <c r="BD14" i="1" s="1"/>
  <c r="BE14" i="1" a="1"/>
  <c r="BE14" i="1" s="1"/>
  <c r="BF14" i="1" a="1"/>
  <c r="BF14" i="1" s="1"/>
  <c r="BG14" i="1" a="1"/>
  <c r="BG14" i="1" s="1"/>
  <c r="AC15" i="1" a="1"/>
  <c r="AC15" i="1" s="1"/>
  <c r="AD15" i="1" a="1"/>
  <c r="AD15" i="1" s="1"/>
  <c r="AE15" i="1" a="1"/>
  <c r="AE15" i="1" s="1"/>
  <c r="AF15" i="1" a="1"/>
  <c r="AF15" i="1" s="1"/>
  <c r="AG15" i="1" a="1"/>
  <c r="AG15" i="1" s="1"/>
  <c r="AH15" i="1" a="1"/>
  <c r="AH15" i="1" s="1"/>
  <c r="AI15" i="1" a="1"/>
  <c r="AI15" i="1" s="1"/>
  <c r="AJ15" i="1" a="1"/>
  <c r="AJ15" i="1" s="1"/>
  <c r="AK15" i="1" a="1"/>
  <c r="AK15" i="1" s="1"/>
  <c r="AL15" i="1" a="1"/>
  <c r="AL15" i="1" s="1"/>
  <c r="AM15" i="1" a="1"/>
  <c r="AM15" i="1" s="1"/>
  <c r="AN15" i="1" a="1"/>
  <c r="AN15" i="1" s="1"/>
  <c r="AO15" i="1" a="1"/>
  <c r="AO15" i="1" s="1"/>
  <c r="AP15" i="1" a="1"/>
  <c r="AP15" i="1" s="1"/>
  <c r="AQ15" i="1" a="1"/>
  <c r="AQ15" i="1" s="1"/>
  <c r="AR15" i="1" a="1"/>
  <c r="AR15" i="1" s="1"/>
  <c r="AS15" i="1" a="1"/>
  <c r="AS15" i="1" s="1"/>
  <c r="AT15" i="1" a="1"/>
  <c r="AT15" i="1" s="1"/>
  <c r="AU15" i="1" a="1"/>
  <c r="AU15" i="1" s="1"/>
  <c r="AV15" i="1" a="1"/>
  <c r="AV15" i="1" s="1"/>
  <c r="AW15" i="1" a="1"/>
  <c r="AW15" i="1" s="1"/>
  <c r="AX15" i="1" a="1"/>
  <c r="AX15" i="1" s="1"/>
  <c r="AY15" i="1" a="1"/>
  <c r="AY15" i="1" s="1"/>
  <c r="AZ15" i="1" a="1"/>
  <c r="AZ15" i="1" s="1"/>
  <c r="BA15" i="1" a="1"/>
  <c r="BA15" i="1" s="1"/>
  <c r="BB15" i="1" a="1"/>
  <c r="BB15" i="1" s="1"/>
  <c r="BC15" i="1" a="1"/>
  <c r="BC15" i="1" s="1"/>
  <c r="BD15" i="1" a="1"/>
  <c r="BD15" i="1" s="1"/>
  <c r="BE15" i="1" a="1"/>
  <c r="BE15" i="1" s="1"/>
  <c r="BF15" i="1" a="1"/>
  <c r="BF15" i="1" s="1"/>
  <c r="BG15" i="1" a="1"/>
  <c r="BG15" i="1" s="1"/>
  <c r="AC16" i="1" a="1"/>
  <c r="AC16" i="1" s="1"/>
  <c r="AD16" i="1" a="1"/>
  <c r="AD16" i="1" s="1"/>
  <c r="AE16" i="1" a="1"/>
  <c r="AE16" i="1" s="1"/>
  <c r="AF16" i="1" a="1"/>
  <c r="AF16" i="1" s="1"/>
  <c r="AG16" i="1" a="1"/>
  <c r="AG16" i="1" s="1"/>
  <c r="AJ16" i="1" a="1"/>
  <c r="AJ16" i="1" s="1"/>
  <c r="AK16" i="1" a="1"/>
  <c r="AK16" i="1" s="1"/>
  <c r="AL16" i="1" a="1"/>
  <c r="AL16" i="1" s="1"/>
  <c r="AM16" i="1" a="1"/>
  <c r="AM16" i="1" s="1"/>
  <c r="AN16" i="1" a="1"/>
  <c r="AN16" i="1" s="1"/>
  <c r="AO16" i="1" a="1"/>
  <c r="AO16" i="1" s="1"/>
  <c r="AP16" i="1" a="1"/>
  <c r="AP16" i="1" s="1"/>
  <c r="AQ16" i="1" a="1"/>
  <c r="AQ16" i="1" s="1"/>
  <c r="AR16" i="1" a="1"/>
  <c r="AR16" i="1" s="1"/>
  <c r="AS16" i="1" a="1"/>
  <c r="AS16" i="1" s="1"/>
  <c r="AT16" i="1" a="1"/>
  <c r="AT16" i="1" s="1"/>
  <c r="AU16" i="1" a="1"/>
  <c r="AU16" i="1" s="1"/>
  <c r="AV16" i="1" a="1"/>
  <c r="AV16" i="1" s="1"/>
  <c r="AW16" i="1" a="1"/>
  <c r="AW16" i="1" s="1"/>
  <c r="AX16" i="1" a="1"/>
  <c r="AX16" i="1" s="1"/>
  <c r="AY16" i="1" a="1"/>
  <c r="AY16" i="1" s="1"/>
  <c r="AZ16" i="1" a="1"/>
  <c r="AZ16" i="1" s="1"/>
  <c r="BA16" i="1" a="1"/>
  <c r="BA16" i="1" s="1"/>
  <c r="BB16" i="1" a="1"/>
  <c r="BB16" i="1" s="1"/>
  <c r="BC16" i="1" a="1"/>
  <c r="BC16" i="1" s="1"/>
  <c r="BD16" i="1" a="1"/>
  <c r="BD16" i="1" s="1"/>
  <c r="BE16" i="1" a="1"/>
  <c r="BE16" i="1" s="1"/>
  <c r="BF16" i="1" a="1"/>
  <c r="BF16" i="1" s="1"/>
  <c r="BG16" i="1" a="1"/>
  <c r="BG16" i="1" s="1"/>
  <c r="AC17" i="1" a="1"/>
  <c r="AC17" i="1" s="1"/>
  <c r="AD17" i="1" a="1"/>
  <c r="AD17" i="1" s="1"/>
  <c r="AF17" i="1" a="1"/>
  <c r="AF17" i="1" s="1"/>
  <c r="AG17" i="1" a="1"/>
  <c r="AG17" i="1" s="1"/>
  <c r="AH17" i="1" a="1"/>
  <c r="AH17" i="1" s="1"/>
  <c r="AI17" i="1" a="1"/>
  <c r="AI17" i="1" s="1"/>
  <c r="AJ17" i="1" a="1"/>
  <c r="AJ17" i="1" s="1"/>
  <c r="AK17" i="1" a="1"/>
  <c r="AK17" i="1" s="1"/>
  <c r="AL17" i="1" a="1"/>
  <c r="AL17" i="1" s="1"/>
  <c r="AM17" i="1" a="1"/>
  <c r="AM17" i="1" s="1"/>
  <c r="AN17" i="1" a="1"/>
  <c r="AN17" i="1" s="1"/>
  <c r="AO17" i="1" a="1"/>
  <c r="AO17" i="1" s="1"/>
  <c r="AP17" i="1" a="1"/>
  <c r="AP17" i="1" s="1"/>
  <c r="AQ17" i="1" a="1"/>
  <c r="AQ17" i="1" s="1"/>
  <c r="AR17" i="1" a="1"/>
  <c r="AR17" i="1" s="1"/>
  <c r="AS17" i="1" a="1"/>
  <c r="AS17" i="1" s="1"/>
  <c r="AT17" i="1" a="1"/>
  <c r="AT17" i="1" s="1"/>
  <c r="AU17" i="1" a="1"/>
  <c r="AU17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BA17" i="1" a="1"/>
  <c r="BA17" i="1" s="1"/>
  <c r="BB17" i="1" a="1"/>
  <c r="BB17" i="1" s="1"/>
  <c r="BC17" i="1" a="1"/>
  <c r="BC17" i="1" s="1"/>
  <c r="BD17" i="1" a="1"/>
  <c r="BD17" i="1" s="1"/>
  <c r="BE17" i="1" a="1"/>
  <c r="BE17" i="1" s="1"/>
  <c r="BF17" i="1" a="1"/>
  <c r="BF17" i="1" s="1"/>
  <c r="BG17" i="1" a="1"/>
  <c r="BG17" i="1" s="1"/>
  <c r="AC18" i="1" a="1"/>
  <c r="AC18" i="1" s="1"/>
  <c r="AD18" i="1" a="1"/>
  <c r="AD18" i="1" s="1"/>
  <c r="AE18" i="1" a="1"/>
  <c r="AE18" i="1" s="1"/>
  <c r="AH18" i="1" a="1"/>
  <c r="AH18" i="1" s="1"/>
  <c r="AI18" i="1" a="1"/>
  <c r="AI18" i="1" s="1"/>
  <c r="AJ18" i="1" a="1"/>
  <c r="AJ18" i="1" s="1"/>
  <c r="AK18" i="1" a="1"/>
  <c r="AK18" i="1" s="1"/>
  <c r="AL18" i="1" a="1"/>
  <c r="AL18" i="1" s="1"/>
  <c r="AM18" i="1" a="1"/>
  <c r="AM18" i="1" s="1"/>
  <c r="AN18" i="1" a="1"/>
  <c r="AN18" i="1" s="1"/>
  <c r="AO18" i="1" a="1"/>
  <c r="AO18" i="1" s="1"/>
  <c r="AP18" i="1" a="1"/>
  <c r="AP18" i="1" s="1"/>
  <c r="AQ18" i="1" a="1"/>
  <c r="AQ18" i="1" s="1"/>
  <c r="AR18" i="1" a="1"/>
  <c r="AR18" i="1" s="1"/>
  <c r="AS18" i="1" a="1"/>
  <c r="AS18" i="1" s="1"/>
  <c r="AT18" i="1" a="1"/>
  <c r="AT18" i="1" s="1"/>
  <c r="AU18" i="1" a="1"/>
  <c r="AU18" i="1" s="1"/>
  <c r="AV18" i="1" a="1"/>
  <c r="AV18" i="1" s="1"/>
  <c r="AW18" i="1" a="1"/>
  <c r="AW18" i="1" s="1"/>
  <c r="AX18" i="1" a="1"/>
  <c r="AX18" i="1" s="1"/>
  <c r="AY18" i="1" a="1"/>
  <c r="AY18" i="1" s="1"/>
  <c r="AZ18" i="1" a="1"/>
  <c r="AZ18" i="1" s="1"/>
  <c r="BA18" i="1" a="1"/>
  <c r="BA18" i="1" s="1"/>
  <c r="BB18" i="1" a="1"/>
  <c r="BB18" i="1" s="1"/>
  <c r="BC18" i="1" a="1"/>
  <c r="BC18" i="1" s="1"/>
  <c r="BD18" i="1" a="1"/>
  <c r="BD18" i="1" s="1"/>
  <c r="BE18" i="1" a="1"/>
  <c r="BE18" i="1" s="1"/>
  <c r="BF18" i="1" a="1"/>
  <c r="BF18" i="1" s="1"/>
  <c r="BG18" i="1" a="1"/>
  <c r="BG18" i="1" s="1"/>
  <c r="AC19" i="1" a="1"/>
  <c r="AC19" i="1" s="1"/>
  <c r="AI19" i="1" a="1"/>
  <c r="AI19" i="1" s="1"/>
  <c r="AJ19" i="1" a="1"/>
  <c r="AJ19" i="1" s="1"/>
  <c r="AK19" i="1" a="1"/>
  <c r="AK19" i="1" s="1"/>
  <c r="AL19" i="1" a="1"/>
  <c r="AL19" i="1" s="1"/>
  <c r="AM19" i="1" a="1"/>
  <c r="AM19" i="1" s="1"/>
  <c r="AN19" i="1" a="1"/>
  <c r="AN19" i="1" s="1"/>
  <c r="AO19" i="1" a="1"/>
  <c r="AO19" i="1" s="1"/>
  <c r="AP19" i="1" a="1"/>
  <c r="AP19" i="1" s="1"/>
  <c r="AQ19" i="1" a="1"/>
  <c r="AQ19" i="1" s="1"/>
  <c r="AR19" i="1" a="1"/>
  <c r="AR19" i="1" s="1"/>
  <c r="AS19" i="1" a="1"/>
  <c r="AS19" i="1" s="1"/>
  <c r="AT19" i="1" a="1"/>
  <c r="AT19" i="1" s="1"/>
  <c r="AU19" i="1" a="1"/>
  <c r="AU19" i="1" s="1"/>
  <c r="AV19" i="1" a="1"/>
  <c r="AV19" i="1" s="1"/>
  <c r="AW19" i="1" a="1"/>
  <c r="AW19" i="1" s="1"/>
  <c r="AX19" i="1" a="1"/>
  <c r="AX19" i="1" s="1"/>
  <c r="AY19" i="1" a="1"/>
  <c r="AY19" i="1" s="1"/>
  <c r="AZ19" i="1" a="1"/>
  <c r="AZ19" i="1" s="1"/>
  <c r="BA19" i="1" a="1"/>
  <c r="BA19" i="1" s="1"/>
  <c r="BB19" i="1" a="1"/>
  <c r="BB19" i="1" s="1"/>
  <c r="BC19" i="1" a="1"/>
  <c r="BC19" i="1" s="1"/>
  <c r="BD19" i="1" a="1"/>
  <c r="BD19" i="1" s="1"/>
  <c r="BE19" i="1" a="1"/>
  <c r="BE19" i="1" s="1"/>
  <c r="BF19" i="1" a="1"/>
  <c r="BF19" i="1" s="1"/>
  <c r="BG19" i="1" a="1"/>
  <c r="BG19" i="1" s="1"/>
  <c r="AC20" i="1" a="1"/>
  <c r="AC20" i="1" s="1"/>
  <c r="AD20" i="1" a="1"/>
  <c r="AD20" i="1" s="1"/>
  <c r="AE20" i="1" a="1"/>
  <c r="AE20" i="1" s="1"/>
  <c r="AF20" i="1" a="1"/>
  <c r="AF20" i="1" s="1"/>
  <c r="AG20" i="1" a="1"/>
  <c r="AG20" i="1" s="1"/>
  <c r="AH20" i="1" a="1"/>
  <c r="AH20" i="1" s="1"/>
  <c r="AI20" i="1" a="1"/>
  <c r="AI20" i="1" s="1"/>
  <c r="AJ20" i="1" a="1"/>
  <c r="AJ20" i="1" s="1"/>
  <c r="AK20" i="1" a="1"/>
  <c r="AK20" i="1" s="1"/>
  <c r="AL20" i="1" a="1"/>
  <c r="AL20" i="1" s="1"/>
  <c r="AM20" i="1" a="1"/>
  <c r="AM20" i="1" s="1"/>
  <c r="AN20" i="1" a="1"/>
  <c r="AN20" i="1" s="1"/>
  <c r="AO20" i="1" a="1"/>
  <c r="AO20" i="1" s="1"/>
  <c r="AP20" i="1" a="1"/>
  <c r="AP20" i="1" s="1"/>
  <c r="AQ20" i="1" a="1"/>
  <c r="AQ20" i="1" s="1"/>
  <c r="AR20" i="1" a="1"/>
  <c r="AR20" i="1" s="1"/>
  <c r="AS20" i="1" a="1"/>
  <c r="AS20" i="1" s="1"/>
  <c r="AT20" i="1" a="1"/>
  <c r="AT20" i="1" s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BA20" i="1" a="1"/>
  <c r="BA20" i="1" s="1"/>
  <c r="BB20" i="1" a="1"/>
  <c r="BB20" i="1" s="1"/>
  <c r="BC20" i="1" a="1"/>
  <c r="BC20" i="1" s="1"/>
  <c r="BD20" i="1" a="1"/>
  <c r="BD20" i="1" s="1"/>
  <c r="BE20" i="1" a="1"/>
  <c r="BE20" i="1" s="1"/>
  <c r="BF20" i="1" a="1"/>
  <c r="BF20" i="1" s="1"/>
  <c r="BG20" i="1" a="1"/>
  <c r="BG20" i="1" s="1"/>
  <c r="AC21" i="1" a="1"/>
  <c r="AC21" i="1" s="1"/>
  <c r="AD21" i="1" a="1"/>
  <c r="AD21" i="1" s="1"/>
  <c r="AE21" i="1" a="1"/>
  <c r="AE21" i="1" s="1"/>
  <c r="AF21" i="1" a="1"/>
  <c r="AF21" i="1" s="1"/>
  <c r="AH21" i="1" a="1"/>
  <c r="AH21" i="1" s="1"/>
  <c r="AI21" i="1" a="1"/>
  <c r="AI21" i="1" s="1"/>
  <c r="AJ21" i="1" a="1"/>
  <c r="AJ21" i="1" s="1"/>
  <c r="AK21" i="1" a="1"/>
  <c r="AK21" i="1" s="1"/>
  <c r="AL21" i="1" a="1"/>
  <c r="AL21" i="1" s="1"/>
  <c r="AM21" i="1" a="1"/>
  <c r="AM21" i="1" s="1"/>
  <c r="AN21" i="1" a="1"/>
  <c r="AN21" i="1" s="1"/>
  <c r="AO21" i="1" a="1"/>
  <c r="AO21" i="1" s="1"/>
  <c r="AP21" i="1" a="1"/>
  <c r="AP21" i="1" s="1"/>
  <c r="AQ21" i="1" a="1"/>
  <c r="AQ21" i="1" s="1"/>
  <c r="AR21" i="1" a="1"/>
  <c r="AR21" i="1" s="1"/>
  <c r="AS21" i="1" a="1"/>
  <c r="AS21" i="1" s="1"/>
  <c r="AT21" i="1" a="1"/>
  <c r="AT21" i="1" s="1"/>
  <c r="AU21" i="1" a="1"/>
  <c r="AU21" i="1" s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BA21" i="1" a="1"/>
  <c r="BA21" i="1" s="1"/>
  <c r="BB21" i="1" a="1"/>
  <c r="BB21" i="1" s="1"/>
  <c r="BC21" i="1" a="1"/>
  <c r="BC21" i="1" s="1"/>
  <c r="BD21" i="1" a="1"/>
  <c r="BD21" i="1" s="1"/>
  <c r="BE21" i="1" a="1"/>
  <c r="BE21" i="1" s="1"/>
  <c r="BF21" i="1" a="1"/>
  <c r="BF21" i="1" s="1"/>
  <c r="BG21" i="1" a="1"/>
  <c r="BG21" i="1" s="1"/>
  <c r="AC22" i="1" a="1"/>
  <c r="AC22" i="1" s="1"/>
  <c r="AD22" i="1" a="1"/>
  <c r="AD22" i="1" s="1"/>
  <c r="AE22" i="1" a="1"/>
  <c r="AE22" i="1" s="1"/>
  <c r="AF22" i="1" a="1"/>
  <c r="AF22" i="1" s="1"/>
  <c r="AG22" i="1" a="1"/>
  <c r="AG22" i="1" s="1"/>
  <c r="AH22" i="1" a="1"/>
  <c r="AH22" i="1" s="1"/>
  <c r="AI22" i="1" a="1"/>
  <c r="AI22" i="1" s="1"/>
  <c r="AJ22" i="1" a="1"/>
  <c r="AJ22" i="1" s="1"/>
  <c r="AK22" i="1" a="1"/>
  <c r="AK22" i="1" s="1"/>
  <c r="AL22" i="1" a="1"/>
  <c r="AL22" i="1" s="1"/>
  <c r="AM22" i="1" a="1"/>
  <c r="AM22" i="1" s="1"/>
  <c r="AN22" i="1" a="1"/>
  <c r="AN22" i="1" s="1"/>
  <c r="AO22" i="1" a="1"/>
  <c r="AO22" i="1" s="1"/>
  <c r="AP22" i="1" a="1"/>
  <c r="AP22" i="1" s="1"/>
  <c r="AQ22" i="1" a="1"/>
  <c r="AQ22" i="1" s="1"/>
  <c r="AR22" i="1" a="1"/>
  <c r="AR22" i="1" s="1"/>
  <c r="AS22" i="1" a="1"/>
  <c r="AS22" i="1" s="1"/>
  <c r="AT22" i="1" a="1"/>
  <c r="AT22" i="1" s="1"/>
  <c r="AU22" i="1" a="1"/>
  <c r="AU22" i="1" s="1"/>
  <c r="AV22" i="1" a="1"/>
  <c r="AV22" i="1" s="1"/>
  <c r="AW22" i="1" a="1"/>
  <c r="AW22" i="1" s="1"/>
  <c r="AX22" i="1" a="1"/>
  <c r="AX22" i="1" s="1"/>
  <c r="AY22" i="1" a="1"/>
  <c r="AY22" i="1" s="1"/>
  <c r="AZ22" i="1" a="1"/>
  <c r="AZ22" i="1" s="1"/>
  <c r="BA22" i="1" a="1"/>
  <c r="BA22" i="1" s="1"/>
  <c r="BB22" i="1" a="1"/>
  <c r="BB22" i="1" s="1"/>
  <c r="BC22" i="1" a="1"/>
  <c r="BC22" i="1" s="1"/>
  <c r="BD22" i="1" a="1"/>
  <c r="BD22" i="1" s="1"/>
  <c r="BE22" i="1" a="1"/>
  <c r="BE22" i="1" s="1"/>
  <c r="BF22" i="1" a="1"/>
  <c r="BF22" i="1" s="1"/>
  <c r="BG22" i="1" a="1"/>
  <c r="BG22" i="1" s="1"/>
  <c r="AC23" i="1" a="1"/>
  <c r="AC23" i="1" s="1"/>
  <c r="AD23" i="1" a="1"/>
  <c r="AD23" i="1" s="1"/>
  <c r="AG23" i="1" a="1"/>
  <c r="AG23" i="1" s="1"/>
  <c r="AH23" i="1" a="1"/>
  <c r="AH23" i="1" s="1"/>
  <c r="AI23" i="1" a="1"/>
  <c r="AI23" i="1" s="1"/>
  <c r="AK23" i="1" a="1"/>
  <c r="AK23" i="1" s="1"/>
  <c r="AL23" i="1" a="1"/>
  <c r="AL23" i="1" s="1"/>
  <c r="AM23" i="1" a="1"/>
  <c r="AM23" i="1" s="1"/>
  <c r="AN23" i="1" a="1"/>
  <c r="AN23" i="1" s="1"/>
  <c r="AO23" i="1" a="1"/>
  <c r="AO23" i="1" s="1"/>
  <c r="AP23" i="1" a="1"/>
  <c r="AP23" i="1" s="1"/>
  <c r="AQ23" i="1" a="1"/>
  <c r="AQ23" i="1" s="1"/>
  <c r="AR23" i="1" a="1"/>
  <c r="AR23" i="1" s="1"/>
  <c r="AS23" i="1" a="1"/>
  <c r="AS23" i="1" s="1"/>
  <c r="AT23" i="1" a="1"/>
  <c r="AT23" i="1" s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BA23" i="1" a="1"/>
  <c r="BA23" i="1" s="1"/>
  <c r="BB23" i="1" a="1"/>
  <c r="BB23" i="1" s="1"/>
  <c r="BC23" i="1" a="1"/>
  <c r="BC23" i="1" s="1"/>
  <c r="BD23" i="1" a="1"/>
  <c r="BD23" i="1" s="1"/>
  <c r="BE23" i="1" a="1"/>
  <c r="BE23" i="1" s="1"/>
  <c r="BF23" i="1" a="1"/>
  <c r="BF23" i="1" s="1"/>
  <c r="BG23" i="1" a="1"/>
  <c r="BG23" i="1" s="1"/>
  <c r="AC24" i="1" a="1"/>
  <c r="AC24" i="1" s="1"/>
  <c r="AF24" i="1" a="1"/>
  <c r="AF24" i="1" s="1"/>
  <c r="AH24" i="1" a="1"/>
  <c r="AH24" i="1" s="1"/>
  <c r="AI24" i="1" a="1"/>
  <c r="AI24" i="1" s="1"/>
  <c r="AK24" i="1" a="1"/>
  <c r="AK24" i="1" s="1"/>
  <c r="AL24" i="1" a="1"/>
  <c r="AL24" i="1" s="1"/>
  <c r="AM24" i="1" a="1"/>
  <c r="AM24" i="1" s="1"/>
  <c r="AN24" i="1" a="1"/>
  <c r="AN24" i="1" s="1"/>
  <c r="AO24" i="1" a="1"/>
  <c r="AO24" i="1" s="1"/>
  <c r="AP24" i="1" a="1"/>
  <c r="AP24" i="1" s="1"/>
  <c r="AQ24" i="1" a="1"/>
  <c r="AQ24" i="1" s="1"/>
  <c r="AR24" i="1" a="1"/>
  <c r="AR24" i="1" s="1"/>
  <c r="AS24" i="1" a="1"/>
  <c r="AS24" i="1" s="1"/>
  <c r="AT24" i="1" a="1"/>
  <c r="AT24" i="1" s="1"/>
  <c r="AU24" i="1" a="1"/>
  <c r="AU24" i="1" s="1"/>
  <c r="AV24" i="1" a="1"/>
  <c r="AV24" i="1" s="1"/>
  <c r="AW24" i="1" a="1"/>
  <c r="AW24" i="1" s="1"/>
  <c r="AX24" i="1" a="1"/>
  <c r="AX24" i="1" s="1"/>
  <c r="AY24" i="1" a="1"/>
  <c r="AY24" i="1" s="1"/>
  <c r="AZ24" i="1" a="1"/>
  <c r="AZ24" i="1" s="1"/>
  <c r="BA24" i="1" a="1"/>
  <c r="BA24" i="1" s="1"/>
  <c r="BB24" i="1" a="1"/>
  <c r="BB24" i="1" s="1"/>
  <c r="BC24" i="1" a="1"/>
  <c r="BC24" i="1" s="1"/>
  <c r="BD24" i="1" a="1"/>
  <c r="BD24" i="1" s="1"/>
  <c r="BE24" i="1" a="1"/>
  <c r="BE24" i="1" s="1"/>
  <c r="BF24" i="1" a="1"/>
  <c r="BF24" i="1" s="1"/>
  <c r="BG24" i="1" a="1"/>
  <c r="BG24" i="1" s="1"/>
  <c r="AC25" i="1" a="1"/>
  <c r="AC25" i="1" s="1"/>
  <c r="AK25" i="1" a="1"/>
  <c r="AK25" i="1" s="1"/>
  <c r="AL25" i="1" a="1"/>
  <c r="AL25" i="1" s="1"/>
  <c r="AM25" i="1" a="1"/>
  <c r="AM25" i="1" s="1"/>
  <c r="AN25" i="1" a="1"/>
  <c r="AN25" i="1" s="1"/>
  <c r="AO25" i="1" a="1"/>
  <c r="AO25" i="1" s="1"/>
  <c r="AP25" i="1" a="1"/>
  <c r="AP25" i="1" s="1"/>
  <c r="AQ25" i="1" a="1"/>
  <c r="AQ25" i="1" s="1"/>
  <c r="AR25" i="1" a="1"/>
  <c r="AR25" i="1" s="1"/>
  <c r="AS25" i="1" a="1"/>
  <c r="AS25" i="1" s="1"/>
  <c r="AT25" i="1" a="1"/>
  <c r="AT25" i="1" s="1"/>
  <c r="AU25" i="1" a="1"/>
  <c r="AU25" i="1" s="1"/>
  <c r="AV25" i="1" a="1"/>
  <c r="AV25" i="1" s="1"/>
  <c r="AW25" i="1" a="1"/>
  <c r="AW25" i="1" s="1"/>
  <c r="AX25" i="1" a="1"/>
  <c r="AX25" i="1" s="1"/>
  <c r="AY25" i="1" a="1"/>
  <c r="AY25" i="1" s="1"/>
  <c r="AZ25" i="1" a="1"/>
  <c r="AZ25" i="1" s="1"/>
  <c r="BA25" i="1" a="1"/>
  <c r="BA25" i="1" s="1"/>
  <c r="BB25" i="1" a="1"/>
  <c r="BB25" i="1" s="1"/>
  <c r="BC25" i="1" a="1"/>
  <c r="BC25" i="1" s="1"/>
  <c r="BD25" i="1" a="1"/>
  <c r="BD25" i="1" s="1"/>
  <c r="BE25" i="1" a="1"/>
  <c r="BE25" i="1" s="1"/>
  <c r="BF25" i="1" a="1"/>
  <c r="BF25" i="1" s="1"/>
  <c r="BG25" i="1" a="1"/>
  <c r="BG25" i="1" s="1"/>
  <c r="AC26" i="1" a="1"/>
  <c r="AC26" i="1" s="1"/>
  <c r="AD26" i="1" a="1"/>
  <c r="AD26" i="1" s="1"/>
  <c r="AE26" i="1" a="1"/>
  <c r="AE26" i="1" s="1"/>
  <c r="AF26" i="1" a="1"/>
  <c r="AF26" i="1" s="1"/>
  <c r="AK26" i="1" a="1"/>
  <c r="AK26" i="1" s="1"/>
  <c r="AL26" i="1" a="1"/>
  <c r="AL26" i="1" s="1"/>
  <c r="AM26" i="1" a="1"/>
  <c r="AM26" i="1" s="1"/>
  <c r="AN26" i="1" a="1"/>
  <c r="AN26" i="1" s="1"/>
  <c r="AO26" i="1" a="1"/>
  <c r="AO26" i="1" s="1"/>
  <c r="AP26" i="1" a="1"/>
  <c r="AP26" i="1" s="1"/>
  <c r="AQ26" i="1" a="1"/>
  <c r="AQ26" i="1" s="1"/>
  <c r="AR26" i="1" a="1"/>
  <c r="AR26" i="1" s="1"/>
  <c r="AS26" i="1" a="1"/>
  <c r="AS26" i="1" s="1"/>
  <c r="AT26" i="1" a="1"/>
  <c r="AT26" i="1" s="1"/>
  <c r="AU26" i="1" a="1"/>
  <c r="AU26" i="1" s="1"/>
  <c r="AV26" i="1" a="1"/>
  <c r="AV26" i="1" s="1"/>
  <c r="AW26" i="1" a="1"/>
  <c r="AW26" i="1" s="1"/>
  <c r="AX26" i="1" a="1"/>
  <c r="AX26" i="1" s="1"/>
  <c r="AY26" i="1" a="1"/>
  <c r="AY26" i="1" s="1"/>
  <c r="AZ26" i="1" a="1"/>
  <c r="AZ26" i="1" s="1"/>
  <c r="BA26" i="1" a="1"/>
  <c r="BA26" i="1" s="1"/>
  <c r="BB26" i="1" a="1"/>
  <c r="BB26" i="1" s="1"/>
  <c r="BC26" i="1" a="1"/>
  <c r="BC26" i="1" s="1"/>
  <c r="BD26" i="1" a="1"/>
  <c r="BD26" i="1" s="1"/>
  <c r="BE26" i="1" a="1"/>
  <c r="BE26" i="1" s="1"/>
  <c r="BF26" i="1" a="1"/>
  <c r="BF26" i="1" s="1"/>
  <c r="BG26" i="1" a="1"/>
  <c r="BG26" i="1" s="1"/>
  <c r="AC28" i="1" a="1"/>
  <c r="AC28" i="1" s="1"/>
  <c r="AD28" i="1" a="1"/>
  <c r="AD28" i="1" s="1"/>
  <c r="AG28" i="1" a="1"/>
  <c r="AG28" i="1" s="1"/>
  <c r="AH28" i="1" a="1"/>
  <c r="AH28" i="1" s="1"/>
  <c r="AK28" i="1" a="1"/>
  <c r="AK28" i="1" s="1"/>
  <c r="AL28" i="1" a="1"/>
  <c r="AL28" i="1" s="1"/>
  <c r="AM28" i="1" a="1"/>
  <c r="AM28" i="1" s="1"/>
  <c r="AN28" i="1" a="1"/>
  <c r="AN28" i="1" s="1"/>
  <c r="AO28" i="1" a="1"/>
  <c r="AO28" i="1" s="1"/>
  <c r="AP28" i="1" a="1"/>
  <c r="AP28" i="1" s="1"/>
  <c r="AQ28" i="1" a="1"/>
  <c r="AQ28" i="1" s="1"/>
  <c r="AR28" i="1" a="1"/>
  <c r="AR28" i="1" s="1"/>
  <c r="AS28" i="1" a="1"/>
  <c r="AS28" i="1" s="1"/>
  <c r="AT28" i="1" a="1"/>
  <c r="AT28" i="1" s="1"/>
  <c r="AU28" i="1" a="1"/>
  <c r="AU28" i="1" s="1"/>
  <c r="AV28" i="1" a="1"/>
  <c r="AV28" i="1" s="1"/>
  <c r="AW28" i="1" a="1"/>
  <c r="AW28" i="1" s="1"/>
  <c r="AX28" i="1" a="1"/>
  <c r="AX28" i="1" s="1"/>
  <c r="AY28" i="1" a="1"/>
  <c r="AY28" i="1" s="1"/>
  <c r="AZ28" i="1" a="1"/>
  <c r="AZ28" i="1" s="1"/>
  <c r="BA28" i="1" a="1"/>
  <c r="BA28" i="1" s="1"/>
  <c r="BB28" i="1" a="1"/>
  <c r="BB28" i="1" s="1"/>
  <c r="BC28" i="1" a="1"/>
  <c r="BC28" i="1" s="1"/>
  <c r="BD28" i="1" a="1"/>
  <c r="BD28" i="1" s="1"/>
  <c r="BE28" i="1" a="1"/>
  <c r="BE28" i="1" s="1"/>
  <c r="BF28" i="1" a="1"/>
  <c r="BF28" i="1" s="1"/>
  <c r="BG28" i="1" a="1"/>
  <c r="BG28" i="1" s="1"/>
  <c r="AC29" i="1" a="1"/>
  <c r="AC29" i="1" s="1"/>
  <c r="AD29" i="1" a="1"/>
  <c r="AD29" i="1" s="1"/>
  <c r="AE29" i="1" a="1"/>
  <c r="AE29" i="1" s="1"/>
  <c r="AF29" i="1" a="1"/>
  <c r="AF29" i="1" s="1"/>
  <c r="AG29" i="1" a="1"/>
  <c r="AG29" i="1" s="1"/>
  <c r="AH29" i="1" a="1"/>
  <c r="AH29" i="1" s="1"/>
  <c r="AI29" i="1" a="1"/>
  <c r="AI29" i="1" s="1"/>
  <c r="AJ29" i="1" a="1"/>
  <c r="AJ29" i="1" s="1"/>
  <c r="AK29" i="1" a="1"/>
  <c r="AK29" i="1" s="1"/>
  <c r="AL29" i="1" a="1"/>
  <c r="AL29" i="1" s="1"/>
  <c r="AM29" i="1" a="1"/>
  <c r="AM29" i="1" s="1"/>
  <c r="AN29" i="1" a="1"/>
  <c r="AN29" i="1" s="1"/>
  <c r="AO29" i="1" a="1"/>
  <c r="AO29" i="1" s="1"/>
  <c r="AP29" i="1" a="1"/>
  <c r="AP29" i="1" s="1"/>
  <c r="AQ29" i="1" a="1"/>
  <c r="AQ29" i="1" s="1"/>
  <c r="AR29" i="1" a="1"/>
  <c r="AR29" i="1" s="1"/>
  <c r="AS29" i="1" a="1"/>
  <c r="AS29" i="1" s="1"/>
  <c r="AT29" i="1" a="1"/>
  <c r="AT29" i="1" s="1"/>
  <c r="AU29" i="1" a="1"/>
  <c r="AU29" i="1" s="1"/>
  <c r="AV29" i="1" a="1"/>
  <c r="AV29" i="1" s="1"/>
  <c r="AW29" i="1" a="1"/>
  <c r="AW29" i="1" s="1"/>
  <c r="AX29" i="1" a="1"/>
  <c r="AX29" i="1" s="1"/>
  <c r="AY29" i="1" a="1"/>
  <c r="AY29" i="1" s="1"/>
  <c r="AZ29" i="1" a="1"/>
  <c r="AZ29" i="1" s="1"/>
  <c r="BA29" i="1" a="1"/>
  <c r="BA29" i="1" s="1"/>
  <c r="BB29" i="1" a="1"/>
  <c r="BB29" i="1" s="1"/>
  <c r="BC29" i="1" a="1"/>
  <c r="BC29" i="1" s="1"/>
  <c r="BD29" i="1" a="1"/>
  <c r="BD29" i="1" s="1"/>
  <c r="BE29" i="1" a="1"/>
  <c r="BE29" i="1" s="1"/>
  <c r="BF29" i="1" a="1"/>
  <c r="BF29" i="1" s="1"/>
  <c r="BG29" i="1" a="1"/>
  <c r="BG29" i="1" s="1"/>
  <c r="AC30" i="1" a="1"/>
  <c r="AC30" i="1" s="1"/>
  <c r="AD30" i="1" a="1"/>
  <c r="AD30" i="1" s="1"/>
  <c r="AE30" i="1" a="1"/>
  <c r="AE30" i="1" s="1"/>
  <c r="AF30" i="1" a="1"/>
  <c r="AF30" i="1" s="1"/>
  <c r="AG30" i="1" a="1"/>
  <c r="AG30" i="1" s="1"/>
  <c r="AH30" i="1" a="1"/>
  <c r="AH30" i="1" s="1"/>
  <c r="AI30" i="1" a="1"/>
  <c r="AI30" i="1" s="1"/>
  <c r="AJ30" i="1" a="1"/>
  <c r="AJ30" i="1" s="1"/>
  <c r="AK30" i="1" a="1"/>
  <c r="AK30" i="1" s="1"/>
  <c r="AL30" i="1" a="1"/>
  <c r="AL30" i="1" s="1"/>
  <c r="AM30" i="1" a="1"/>
  <c r="AM30" i="1" s="1"/>
  <c r="AN30" i="1" a="1"/>
  <c r="AN30" i="1" s="1"/>
  <c r="AO30" i="1" a="1"/>
  <c r="AO30" i="1" s="1"/>
  <c r="AP30" i="1" a="1"/>
  <c r="AP30" i="1" s="1"/>
  <c r="AQ30" i="1" a="1"/>
  <c r="AQ30" i="1" s="1"/>
  <c r="AR30" i="1" a="1"/>
  <c r="AR30" i="1" s="1"/>
  <c r="AS30" i="1" a="1"/>
  <c r="AS30" i="1" s="1"/>
  <c r="AT30" i="1" a="1"/>
  <c r="AT30" i="1" s="1"/>
  <c r="AU30" i="1" a="1"/>
  <c r="AU30" i="1" s="1"/>
  <c r="AV30" i="1" a="1"/>
  <c r="AV30" i="1" s="1"/>
  <c r="AW30" i="1" a="1"/>
  <c r="AW30" i="1" s="1"/>
  <c r="AX30" i="1" a="1"/>
  <c r="AX30" i="1" s="1"/>
  <c r="AY30" i="1" a="1"/>
  <c r="AY30" i="1" s="1"/>
  <c r="AZ30" i="1" a="1"/>
  <c r="AZ30" i="1" s="1"/>
  <c r="BA30" i="1" a="1"/>
  <c r="BA30" i="1" s="1"/>
  <c r="BB30" i="1" a="1"/>
  <c r="BB30" i="1" s="1"/>
  <c r="BC30" i="1" a="1"/>
  <c r="BC30" i="1" s="1"/>
  <c r="BD30" i="1" a="1"/>
  <c r="BD30" i="1" s="1"/>
  <c r="BE30" i="1" a="1"/>
  <c r="BE30" i="1" s="1"/>
  <c r="BF30" i="1" a="1"/>
  <c r="BF30" i="1" s="1"/>
  <c r="BG30" i="1" a="1"/>
  <c r="BG30" i="1" s="1"/>
  <c r="AC31" i="1" a="1"/>
  <c r="AC31" i="1" s="1"/>
  <c r="AD31" i="1" a="1"/>
  <c r="AD31" i="1" s="1"/>
  <c r="AE31" i="1" a="1"/>
  <c r="AE31" i="1" s="1"/>
  <c r="AF31" i="1" a="1"/>
  <c r="AF31" i="1" s="1"/>
  <c r="AG31" i="1" a="1"/>
  <c r="AG31" i="1" s="1"/>
  <c r="AH31" i="1" a="1"/>
  <c r="AH31" i="1" s="1"/>
  <c r="AI31" i="1" a="1"/>
  <c r="AI31" i="1" s="1"/>
  <c r="AJ31" i="1" a="1"/>
  <c r="AJ31" i="1" s="1"/>
  <c r="AK31" i="1" a="1"/>
  <c r="AK31" i="1" s="1"/>
  <c r="AL31" i="1" a="1"/>
  <c r="AL31" i="1" s="1"/>
  <c r="AM31" i="1" a="1"/>
  <c r="AM31" i="1" s="1"/>
  <c r="AN31" i="1" a="1"/>
  <c r="AN31" i="1" s="1"/>
  <c r="AO31" i="1" a="1"/>
  <c r="AO31" i="1" s="1"/>
  <c r="AP31" i="1" a="1"/>
  <c r="AP31" i="1" s="1"/>
  <c r="AQ31" i="1" a="1"/>
  <c r="AQ31" i="1" s="1"/>
  <c r="AR31" i="1" a="1"/>
  <c r="AR31" i="1" s="1"/>
  <c r="AS31" i="1" a="1"/>
  <c r="AS31" i="1" s="1"/>
  <c r="AT31" i="1" a="1"/>
  <c r="AT31" i="1" s="1"/>
  <c r="AU31" i="1" a="1"/>
  <c r="AU31" i="1" s="1"/>
  <c r="AV31" i="1" a="1"/>
  <c r="AV31" i="1" s="1"/>
  <c r="AW31" i="1" a="1"/>
  <c r="AW31" i="1" s="1"/>
  <c r="AX31" i="1" a="1"/>
  <c r="AX31" i="1" s="1"/>
  <c r="AY31" i="1" a="1"/>
  <c r="AY31" i="1" s="1"/>
  <c r="AZ31" i="1" a="1"/>
  <c r="AZ31" i="1" s="1"/>
  <c r="BA31" i="1" a="1"/>
  <c r="BA31" i="1" s="1"/>
  <c r="BB31" i="1" a="1"/>
  <c r="BB31" i="1" s="1"/>
  <c r="BC31" i="1" a="1"/>
  <c r="BC31" i="1" s="1"/>
  <c r="BD31" i="1" a="1"/>
  <c r="BD31" i="1" s="1"/>
  <c r="BE31" i="1" a="1"/>
  <c r="BE31" i="1" s="1"/>
  <c r="BF31" i="1" a="1"/>
  <c r="BF31" i="1" s="1"/>
  <c r="BG31" i="1" a="1"/>
  <c r="BG31" i="1" s="1"/>
  <c r="AC32" i="1" a="1"/>
  <c r="AC32" i="1" s="1"/>
  <c r="AD32" i="1" a="1"/>
  <c r="AD32" i="1" s="1"/>
  <c r="AE32" i="1" a="1"/>
  <c r="AE32" i="1" s="1"/>
  <c r="AF32" i="1" a="1"/>
  <c r="AF32" i="1" s="1"/>
  <c r="AJ32" i="1" a="1"/>
  <c r="AJ32" i="1" s="1"/>
  <c r="AK32" i="1" a="1"/>
  <c r="AK32" i="1" s="1"/>
  <c r="AL32" i="1" a="1"/>
  <c r="AL32" i="1" s="1"/>
  <c r="AM32" i="1" a="1"/>
  <c r="AM32" i="1" s="1"/>
  <c r="AN32" i="1" a="1"/>
  <c r="AN32" i="1" s="1"/>
  <c r="AO32" i="1" a="1"/>
  <c r="AO32" i="1" s="1"/>
  <c r="AP32" i="1" a="1"/>
  <c r="AP32" i="1" s="1"/>
  <c r="AQ32" i="1" a="1"/>
  <c r="AQ32" i="1" s="1"/>
  <c r="AR32" i="1" a="1"/>
  <c r="AR32" i="1" s="1"/>
  <c r="AS32" i="1" a="1"/>
  <c r="AS32" i="1" s="1"/>
  <c r="AT32" i="1" a="1"/>
  <c r="AT32" i="1" s="1"/>
  <c r="AU32" i="1" a="1"/>
  <c r="AU32" i="1" s="1"/>
  <c r="AV32" i="1" a="1"/>
  <c r="AV32" i="1" s="1"/>
  <c r="AW32" i="1" a="1"/>
  <c r="AW32" i="1" s="1"/>
  <c r="AX32" i="1" a="1"/>
  <c r="AX32" i="1" s="1"/>
  <c r="AY32" i="1" a="1"/>
  <c r="AY32" i="1" s="1"/>
  <c r="AZ32" i="1" a="1"/>
  <c r="AZ32" i="1" s="1"/>
  <c r="BA32" i="1" a="1"/>
  <c r="BA32" i="1" s="1"/>
  <c r="BB32" i="1" a="1"/>
  <c r="BB32" i="1" s="1"/>
  <c r="BC32" i="1" a="1"/>
  <c r="BC32" i="1" s="1"/>
  <c r="BD32" i="1" a="1"/>
  <c r="BD32" i="1" s="1"/>
  <c r="BE32" i="1" a="1"/>
  <c r="BE32" i="1" s="1"/>
  <c r="BF32" i="1" a="1"/>
  <c r="BF32" i="1" s="1"/>
  <c r="BG32" i="1" a="1"/>
  <c r="BG32" i="1" s="1"/>
  <c r="AC34" i="1" a="1"/>
  <c r="AC34" i="1" s="1"/>
  <c r="AD34" i="1" a="1"/>
  <c r="AD34" i="1" s="1"/>
  <c r="AE34" i="1" a="1"/>
  <c r="AE34" i="1" s="1"/>
  <c r="AF34" i="1" a="1"/>
  <c r="AF34" i="1" s="1"/>
  <c r="AG34" i="1" a="1"/>
  <c r="AG34" i="1" s="1"/>
  <c r="AI34" i="1" a="1"/>
  <c r="AI34" i="1" s="1"/>
  <c r="AJ34" i="1" a="1"/>
  <c r="AJ34" i="1" s="1"/>
  <c r="AK34" i="1" a="1"/>
  <c r="AK34" i="1" s="1"/>
  <c r="AL34" i="1" a="1"/>
  <c r="AL34" i="1" s="1"/>
  <c r="AM34" i="1" a="1"/>
  <c r="AM34" i="1" s="1"/>
  <c r="AN34" i="1" a="1"/>
  <c r="AN34" i="1" s="1"/>
  <c r="AO34" i="1" a="1"/>
  <c r="AO34" i="1" s="1"/>
  <c r="AP34" i="1" a="1"/>
  <c r="AP34" i="1" s="1"/>
  <c r="AQ34" i="1" a="1"/>
  <c r="AQ34" i="1" s="1"/>
  <c r="AR34" i="1" a="1"/>
  <c r="AR34" i="1" s="1"/>
  <c r="AS34" i="1" a="1"/>
  <c r="AS34" i="1" s="1"/>
  <c r="AT34" i="1" a="1"/>
  <c r="AT34" i="1" s="1"/>
  <c r="AU34" i="1" a="1"/>
  <c r="AU34" i="1" s="1"/>
  <c r="AV34" i="1" a="1"/>
  <c r="AV34" i="1" s="1"/>
  <c r="AW34" i="1" a="1"/>
  <c r="AW34" i="1" s="1"/>
  <c r="AX34" i="1" a="1"/>
  <c r="AX34" i="1" s="1"/>
  <c r="AY34" i="1" a="1"/>
  <c r="AY34" i="1" s="1"/>
  <c r="AZ34" i="1" a="1"/>
  <c r="AZ34" i="1" s="1"/>
  <c r="BA34" i="1" a="1"/>
  <c r="BA34" i="1" s="1"/>
  <c r="BB34" i="1" a="1"/>
  <c r="BB34" i="1" s="1"/>
  <c r="BC34" i="1" a="1"/>
  <c r="BC34" i="1" s="1"/>
  <c r="BD34" i="1" a="1"/>
  <c r="BD34" i="1" s="1"/>
  <c r="BE34" i="1" a="1"/>
  <c r="BE34" i="1" s="1"/>
  <c r="BF34" i="1" a="1"/>
  <c r="BF34" i="1" s="1"/>
  <c r="BG34" i="1" a="1"/>
  <c r="BG34" i="1" s="1"/>
  <c r="AC35" i="1" a="1"/>
  <c r="AC35" i="1" s="1"/>
  <c r="AD35" i="1" a="1"/>
  <c r="AD35" i="1" s="1"/>
  <c r="AE35" i="1" a="1"/>
  <c r="AE35" i="1" s="1"/>
  <c r="AF35" i="1" a="1"/>
  <c r="AF35" i="1" s="1"/>
  <c r="AG35" i="1" a="1"/>
  <c r="AG35" i="1" s="1"/>
  <c r="AH35" i="1" a="1"/>
  <c r="AH35" i="1" s="1"/>
  <c r="AI35" i="1" a="1"/>
  <c r="AI35" i="1" s="1"/>
  <c r="AJ35" i="1" a="1"/>
  <c r="AJ35" i="1" s="1"/>
  <c r="AK35" i="1" a="1"/>
  <c r="AK35" i="1" s="1"/>
  <c r="AL35" i="1" a="1"/>
  <c r="AL35" i="1" s="1"/>
  <c r="AM35" i="1" a="1"/>
  <c r="AM35" i="1" s="1"/>
  <c r="AN35" i="1" a="1"/>
  <c r="AN35" i="1" s="1"/>
  <c r="AO35" i="1" a="1"/>
  <c r="AO35" i="1" s="1"/>
  <c r="AP35" i="1" a="1"/>
  <c r="AP35" i="1" s="1"/>
  <c r="AQ35" i="1" a="1"/>
  <c r="AQ35" i="1" s="1"/>
  <c r="AR35" i="1" a="1"/>
  <c r="AR35" i="1" s="1"/>
  <c r="AS35" i="1" a="1"/>
  <c r="AS35" i="1" s="1"/>
  <c r="AT35" i="1" a="1"/>
  <c r="AT35" i="1" s="1"/>
  <c r="AU35" i="1" a="1"/>
  <c r="AU35" i="1" s="1"/>
  <c r="AV35" i="1" a="1"/>
  <c r="AV35" i="1" s="1"/>
  <c r="AW35" i="1" a="1"/>
  <c r="AW35" i="1" s="1"/>
  <c r="AX35" i="1" a="1"/>
  <c r="AX35" i="1" s="1"/>
  <c r="AY35" i="1" a="1"/>
  <c r="AY35" i="1" s="1"/>
  <c r="AZ35" i="1" a="1"/>
  <c r="AZ35" i="1" s="1"/>
  <c r="BA35" i="1" a="1"/>
  <c r="BA35" i="1" s="1"/>
  <c r="BB35" i="1" a="1"/>
  <c r="BB35" i="1" s="1"/>
  <c r="BC35" i="1" a="1"/>
  <c r="BC35" i="1" s="1"/>
  <c r="BD35" i="1" a="1"/>
  <c r="BD35" i="1" s="1"/>
  <c r="BE35" i="1" a="1"/>
  <c r="BE35" i="1" s="1"/>
  <c r="BF35" i="1" a="1"/>
  <c r="BF35" i="1" s="1"/>
  <c r="BG35" i="1" a="1"/>
  <c r="BG35" i="1" s="1"/>
  <c r="AC36" i="1" a="1"/>
  <c r="AC36" i="1" s="1"/>
  <c r="AD36" i="1" a="1"/>
  <c r="AD36" i="1" s="1"/>
  <c r="AE36" i="1" a="1"/>
  <c r="AE36" i="1" s="1"/>
  <c r="AF36" i="1" a="1"/>
  <c r="AF36" i="1" s="1"/>
  <c r="AG36" i="1" a="1"/>
  <c r="AG36" i="1" s="1"/>
  <c r="AH36" i="1" a="1"/>
  <c r="AH36" i="1" s="1"/>
  <c r="AI36" i="1" a="1"/>
  <c r="AI36" i="1" s="1"/>
  <c r="AJ36" i="1" a="1"/>
  <c r="AJ36" i="1" s="1"/>
  <c r="AK36" i="1" a="1"/>
  <c r="AK36" i="1" s="1"/>
  <c r="AL36" i="1" a="1"/>
  <c r="AL36" i="1" s="1"/>
  <c r="AM36" i="1" a="1"/>
  <c r="AM36" i="1" s="1"/>
  <c r="AN36" i="1" a="1"/>
  <c r="AN36" i="1" s="1"/>
  <c r="AO36" i="1" a="1"/>
  <c r="AO36" i="1" s="1"/>
  <c r="AP36" i="1" a="1"/>
  <c r="AP36" i="1" s="1"/>
  <c r="AQ36" i="1" a="1"/>
  <c r="AQ36" i="1" s="1"/>
  <c r="AR36" i="1" a="1"/>
  <c r="AR36" i="1" s="1"/>
  <c r="AS36" i="1" a="1"/>
  <c r="AS36" i="1" s="1"/>
  <c r="AT36" i="1" a="1"/>
  <c r="AT36" i="1" s="1"/>
  <c r="AU36" i="1" a="1"/>
  <c r="AU36" i="1" s="1"/>
  <c r="AV36" i="1" a="1"/>
  <c r="AV36" i="1" s="1"/>
  <c r="AW36" i="1" a="1"/>
  <c r="AW36" i="1" s="1"/>
  <c r="AX36" i="1" a="1"/>
  <c r="AX36" i="1" s="1"/>
  <c r="AY36" i="1" a="1"/>
  <c r="AY36" i="1" s="1"/>
  <c r="AZ36" i="1" a="1"/>
  <c r="AZ36" i="1" s="1"/>
  <c r="BA36" i="1" a="1"/>
  <c r="BA36" i="1" s="1"/>
  <c r="BB36" i="1" a="1"/>
  <c r="BB36" i="1" s="1"/>
  <c r="BC36" i="1" a="1"/>
  <c r="BC36" i="1" s="1"/>
  <c r="BD36" i="1" a="1"/>
  <c r="BD36" i="1" s="1"/>
  <c r="BE36" i="1" a="1"/>
  <c r="BE36" i="1" s="1"/>
  <c r="BF36" i="1" a="1"/>
  <c r="BF36" i="1" s="1"/>
  <c r="BG36" i="1" a="1"/>
  <c r="BG36" i="1" s="1"/>
  <c r="AC37" i="1" a="1"/>
  <c r="AC37" i="1" s="1"/>
  <c r="AD37" i="1" a="1"/>
  <c r="AD37" i="1" s="1"/>
  <c r="AE37" i="1" a="1"/>
  <c r="AE37" i="1" s="1"/>
  <c r="AG37" i="1" a="1"/>
  <c r="AG37" i="1" s="1"/>
  <c r="AH37" i="1" a="1"/>
  <c r="AH37" i="1" s="1"/>
  <c r="AI37" i="1" a="1"/>
  <c r="AI37" i="1" s="1"/>
  <c r="AJ37" i="1" a="1"/>
  <c r="AJ37" i="1" s="1"/>
  <c r="AK37" i="1" a="1"/>
  <c r="AK37" i="1" s="1"/>
  <c r="AL37" i="1" a="1"/>
  <c r="AL37" i="1" s="1"/>
  <c r="AM37" i="1" a="1"/>
  <c r="AM37" i="1" s="1"/>
  <c r="AN37" i="1" a="1"/>
  <c r="AN37" i="1" s="1"/>
  <c r="AO37" i="1" a="1"/>
  <c r="AO37" i="1" s="1"/>
  <c r="AP37" i="1" a="1"/>
  <c r="AP37" i="1" s="1"/>
  <c r="AQ37" i="1" a="1"/>
  <c r="AQ37" i="1" s="1"/>
  <c r="AR37" i="1" a="1"/>
  <c r="AR37" i="1" s="1"/>
  <c r="AS37" i="1" a="1"/>
  <c r="AS37" i="1" s="1"/>
  <c r="AT37" i="1" a="1"/>
  <c r="AT37" i="1" s="1"/>
  <c r="AU37" i="1" a="1"/>
  <c r="AU37" i="1" s="1"/>
  <c r="AV37" i="1" a="1"/>
  <c r="AV37" i="1" s="1"/>
  <c r="AW37" i="1" a="1"/>
  <c r="AW37" i="1" s="1"/>
  <c r="AX37" i="1" a="1"/>
  <c r="AX37" i="1" s="1"/>
  <c r="AY37" i="1" a="1"/>
  <c r="AY37" i="1" s="1"/>
  <c r="AZ37" i="1" a="1"/>
  <c r="AZ37" i="1" s="1"/>
  <c r="BA37" i="1" a="1"/>
  <c r="BA37" i="1" s="1"/>
  <c r="BB37" i="1" a="1"/>
  <c r="BB37" i="1" s="1"/>
  <c r="BC37" i="1" a="1"/>
  <c r="BC37" i="1" s="1"/>
  <c r="BD37" i="1" a="1"/>
  <c r="BD37" i="1" s="1"/>
  <c r="BE37" i="1" a="1"/>
  <c r="BE37" i="1" s="1"/>
  <c r="BF37" i="1" a="1"/>
  <c r="BF37" i="1" s="1"/>
  <c r="BG37" i="1" a="1"/>
  <c r="BG37" i="1" s="1"/>
  <c r="AC38" i="1" a="1"/>
  <c r="AC38" i="1" s="1"/>
  <c r="AD38" i="1" a="1"/>
  <c r="AD38" i="1" s="1"/>
  <c r="AE38" i="1" a="1"/>
  <c r="AE38" i="1" s="1"/>
  <c r="AF38" i="1" a="1"/>
  <c r="AF38" i="1" s="1"/>
  <c r="AG38" i="1" a="1"/>
  <c r="AG38" i="1" s="1"/>
  <c r="AH38" i="1" a="1"/>
  <c r="AH38" i="1" s="1"/>
  <c r="AI38" i="1" a="1"/>
  <c r="AI38" i="1" s="1"/>
  <c r="AJ38" i="1" a="1"/>
  <c r="AJ38" i="1" s="1"/>
  <c r="AK38" i="1" a="1"/>
  <c r="AK38" i="1" s="1"/>
  <c r="AL38" i="1" a="1"/>
  <c r="AL38" i="1" s="1"/>
  <c r="AM38" i="1" a="1"/>
  <c r="AM38" i="1" s="1"/>
  <c r="AN38" i="1" a="1"/>
  <c r="AN38" i="1" s="1"/>
  <c r="AO38" i="1" a="1"/>
  <c r="AO38" i="1" s="1"/>
  <c r="AP38" i="1" a="1"/>
  <c r="AP38" i="1" s="1"/>
  <c r="AQ38" i="1" a="1"/>
  <c r="AQ38" i="1" s="1"/>
  <c r="AR38" i="1" a="1"/>
  <c r="AR38" i="1" s="1"/>
  <c r="AS38" i="1" a="1"/>
  <c r="AS38" i="1" s="1"/>
  <c r="AT38" i="1" a="1"/>
  <c r="AT38" i="1" s="1"/>
  <c r="AU38" i="1" a="1"/>
  <c r="AU38" i="1" s="1"/>
  <c r="AV38" i="1" a="1"/>
  <c r="AV38" i="1" s="1"/>
  <c r="AW38" i="1" a="1"/>
  <c r="AW38" i="1" s="1"/>
  <c r="AX38" i="1" a="1"/>
  <c r="AX38" i="1" s="1"/>
  <c r="AY38" i="1" a="1"/>
  <c r="AY38" i="1" s="1"/>
  <c r="AZ38" i="1" a="1"/>
  <c r="AZ38" i="1" s="1"/>
  <c r="BA38" i="1" a="1"/>
  <c r="BA38" i="1" s="1"/>
  <c r="BB38" i="1" a="1"/>
  <c r="BB38" i="1" s="1"/>
  <c r="BC38" i="1" a="1"/>
  <c r="BC38" i="1" s="1"/>
  <c r="BD38" i="1" a="1"/>
  <c r="BD38" i="1" s="1"/>
  <c r="BE38" i="1" a="1"/>
  <c r="BE38" i="1" s="1"/>
  <c r="BF38" i="1" a="1"/>
  <c r="BF38" i="1" s="1"/>
  <c r="BG38" i="1" a="1"/>
  <c r="BG38" i="1" s="1"/>
  <c r="AC39" i="1" a="1"/>
  <c r="AC39" i="1" s="1"/>
  <c r="AG39" i="1" a="1"/>
  <c r="AG39" i="1" s="1"/>
  <c r="AH39" i="1" a="1"/>
  <c r="AH39" i="1" s="1"/>
  <c r="AI39" i="1" a="1"/>
  <c r="AI39" i="1" s="1"/>
  <c r="AJ39" i="1" a="1"/>
  <c r="AJ39" i="1" s="1"/>
  <c r="AK39" i="1" a="1"/>
  <c r="AK39" i="1" s="1"/>
  <c r="AL39" i="1" a="1"/>
  <c r="AL39" i="1" s="1"/>
  <c r="AM39" i="1" a="1"/>
  <c r="AM39" i="1" s="1"/>
  <c r="AN39" i="1" a="1"/>
  <c r="AN39" i="1" s="1"/>
  <c r="AO39" i="1" a="1"/>
  <c r="AO39" i="1" s="1"/>
  <c r="AP39" i="1" a="1"/>
  <c r="AP39" i="1" s="1"/>
  <c r="AQ39" i="1" a="1"/>
  <c r="AQ39" i="1" s="1"/>
  <c r="AR39" i="1" a="1"/>
  <c r="AR39" i="1" s="1"/>
  <c r="AS39" i="1" a="1"/>
  <c r="AS39" i="1" s="1"/>
  <c r="AT39" i="1" a="1"/>
  <c r="AT39" i="1" s="1"/>
  <c r="AU39" i="1" a="1"/>
  <c r="AU39" i="1" s="1"/>
  <c r="AV39" i="1" a="1"/>
  <c r="AV39" i="1" s="1"/>
  <c r="AW39" i="1" a="1"/>
  <c r="AW39" i="1" s="1"/>
  <c r="AX39" i="1" a="1"/>
  <c r="AX39" i="1" s="1"/>
  <c r="AY39" i="1" a="1"/>
  <c r="AY39" i="1" s="1"/>
  <c r="AZ39" i="1" a="1"/>
  <c r="AZ39" i="1" s="1"/>
  <c r="BA39" i="1" a="1"/>
  <c r="BA39" i="1" s="1"/>
  <c r="BB39" i="1" a="1"/>
  <c r="BB39" i="1" s="1"/>
  <c r="BC39" i="1" a="1"/>
  <c r="BC39" i="1" s="1"/>
  <c r="BD39" i="1" a="1"/>
  <c r="BD39" i="1" s="1"/>
  <c r="BE39" i="1" a="1"/>
  <c r="BE39" i="1" s="1"/>
  <c r="BF39" i="1" a="1"/>
  <c r="BF39" i="1" s="1"/>
  <c r="BG39" i="1" a="1"/>
  <c r="BG39" i="1" s="1"/>
  <c r="AC40" i="1" a="1"/>
  <c r="AC40" i="1" s="1"/>
  <c r="AD40" i="1" a="1"/>
  <c r="AD40" i="1" s="1"/>
  <c r="AE40" i="1" a="1"/>
  <c r="AE40" i="1" s="1"/>
  <c r="AF40" i="1" a="1"/>
  <c r="AF40" i="1" s="1"/>
  <c r="AH40" i="1" a="1"/>
  <c r="AH40" i="1" s="1"/>
  <c r="AI40" i="1" a="1"/>
  <c r="AI40" i="1" s="1"/>
  <c r="AJ40" i="1" a="1"/>
  <c r="AJ40" i="1" s="1"/>
  <c r="AK40" i="1" a="1"/>
  <c r="AK40" i="1" s="1"/>
  <c r="AL40" i="1" a="1"/>
  <c r="AL40" i="1" s="1"/>
  <c r="AM40" i="1" a="1"/>
  <c r="AM40" i="1" s="1"/>
  <c r="AN40" i="1" a="1"/>
  <c r="AN40" i="1" s="1"/>
  <c r="AO40" i="1" a="1"/>
  <c r="AO40" i="1" s="1"/>
  <c r="AP40" i="1" a="1"/>
  <c r="AP40" i="1" s="1"/>
  <c r="AQ40" i="1" a="1"/>
  <c r="AQ40" i="1" s="1"/>
  <c r="AR40" i="1" a="1"/>
  <c r="AR40" i="1" s="1"/>
  <c r="AS40" i="1" a="1"/>
  <c r="AS40" i="1" s="1"/>
  <c r="AT40" i="1" a="1"/>
  <c r="AT40" i="1" s="1"/>
  <c r="AU40" i="1" a="1"/>
  <c r="AU40" i="1" s="1"/>
  <c r="AV40" i="1" a="1"/>
  <c r="AV40" i="1" s="1"/>
  <c r="AW40" i="1" a="1"/>
  <c r="AW40" i="1" s="1"/>
  <c r="AX40" i="1" a="1"/>
  <c r="AX40" i="1" s="1"/>
  <c r="AY40" i="1" a="1"/>
  <c r="AY40" i="1" s="1"/>
  <c r="AZ40" i="1" a="1"/>
  <c r="AZ40" i="1" s="1"/>
  <c r="BA40" i="1" a="1"/>
  <c r="BA40" i="1" s="1"/>
  <c r="BB40" i="1" a="1"/>
  <c r="BB40" i="1" s="1"/>
  <c r="BC40" i="1" a="1"/>
  <c r="BC40" i="1" s="1"/>
  <c r="BD40" i="1" a="1"/>
  <c r="BD40" i="1" s="1"/>
  <c r="BE40" i="1" a="1"/>
  <c r="BE40" i="1" s="1"/>
  <c r="BF40" i="1" a="1"/>
  <c r="BF40" i="1" s="1"/>
  <c r="BG40" i="1" a="1"/>
  <c r="BG40" i="1" s="1"/>
  <c r="AK41" i="1" a="1"/>
  <c r="AK41" i="1" s="1"/>
  <c r="AL41" i="1" a="1"/>
  <c r="AL41" i="1" s="1"/>
  <c r="AM41" i="1" a="1"/>
  <c r="AM41" i="1" s="1"/>
  <c r="AN41" i="1" a="1"/>
  <c r="AN41" i="1" s="1"/>
  <c r="AO41" i="1" a="1"/>
  <c r="AO41" i="1" s="1"/>
  <c r="AP41" i="1" a="1"/>
  <c r="AP41" i="1" s="1"/>
  <c r="AQ41" i="1" a="1"/>
  <c r="AQ41" i="1" s="1"/>
  <c r="AR41" i="1" a="1"/>
  <c r="AR41" i="1" s="1"/>
  <c r="AS41" i="1" a="1"/>
  <c r="AS41" i="1" s="1"/>
  <c r="AT41" i="1" a="1"/>
  <c r="AT41" i="1" s="1"/>
  <c r="AU41" i="1" a="1"/>
  <c r="AU41" i="1" s="1"/>
  <c r="AV41" i="1" a="1"/>
  <c r="AV41" i="1" s="1"/>
  <c r="AW41" i="1" a="1"/>
  <c r="AW41" i="1" s="1"/>
  <c r="AX41" i="1" a="1"/>
  <c r="AX41" i="1" s="1"/>
  <c r="AY41" i="1" a="1"/>
  <c r="AY41" i="1" s="1"/>
  <c r="AZ41" i="1" a="1"/>
  <c r="AZ41" i="1" s="1"/>
  <c r="BA41" i="1" a="1"/>
  <c r="BA41" i="1" s="1"/>
  <c r="BB41" i="1" a="1"/>
  <c r="BB41" i="1" s="1"/>
  <c r="BC41" i="1" a="1"/>
  <c r="BC41" i="1" s="1"/>
  <c r="BD41" i="1" a="1"/>
  <c r="BD41" i="1" s="1"/>
  <c r="BE41" i="1" a="1"/>
  <c r="BE41" i="1" s="1"/>
  <c r="BF41" i="1" a="1"/>
  <c r="BF41" i="1" s="1"/>
  <c r="BG41" i="1" a="1"/>
  <c r="BG41" i="1" s="1"/>
  <c r="AC42" i="1" a="1"/>
  <c r="AC42" i="1" s="1"/>
  <c r="AH42" i="1" a="1"/>
  <c r="AH42" i="1" s="1"/>
  <c r="AK42" i="1" a="1"/>
  <c r="AK42" i="1" s="1"/>
  <c r="AL42" i="1" a="1"/>
  <c r="AL42" i="1" s="1"/>
  <c r="AM42" i="1" a="1"/>
  <c r="AM42" i="1" s="1"/>
  <c r="AN42" i="1" a="1"/>
  <c r="AN42" i="1" s="1"/>
  <c r="AO42" i="1" a="1"/>
  <c r="AO42" i="1" s="1"/>
  <c r="AP42" i="1" a="1"/>
  <c r="AP42" i="1" s="1"/>
  <c r="AQ42" i="1" a="1"/>
  <c r="AQ42" i="1" s="1"/>
  <c r="AR42" i="1" a="1"/>
  <c r="AR42" i="1" s="1"/>
  <c r="AS42" i="1" a="1"/>
  <c r="AS42" i="1" s="1"/>
  <c r="AT42" i="1" a="1"/>
  <c r="AT42" i="1" s="1"/>
  <c r="AU42" i="1" a="1"/>
  <c r="AU42" i="1" s="1"/>
  <c r="AV42" i="1" a="1"/>
  <c r="AV42" i="1" s="1"/>
  <c r="AW42" i="1" a="1"/>
  <c r="AW42" i="1" s="1"/>
  <c r="AX42" i="1" a="1"/>
  <c r="AX42" i="1" s="1"/>
  <c r="AY42" i="1" a="1"/>
  <c r="AY42" i="1" s="1"/>
  <c r="AZ42" i="1" a="1"/>
  <c r="AZ42" i="1" s="1"/>
  <c r="BA42" i="1" a="1"/>
  <c r="BA42" i="1" s="1"/>
  <c r="BB42" i="1" a="1"/>
  <c r="BB42" i="1" s="1"/>
  <c r="BC42" i="1" a="1"/>
  <c r="BC42" i="1" s="1"/>
  <c r="BD42" i="1" a="1"/>
  <c r="BD42" i="1" s="1"/>
  <c r="BE42" i="1" a="1"/>
  <c r="BE42" i="1" s="1"/>
  <c r="BF42" i="1" a="1"/>
  <c r="BF42" i="1" s="1"/>
  <c r="BG42" i="1" a="1"/>
  <c r="BG42" i="1" s="1"/>
  <c r="AC43" i="1" a="1"/>
  <c r="AC43" i="1" s="1"/>
  <c r="AD43" i="1" a="1"/>
  <c r="AD43" i="1" s="1"/>
  <c r="AE43" i="1" a="1"/>
  <c r="AE43" i="1" s="1"/>
  <c r="AF43" i="1" a="1"/>
  <c r="AF43" i="1" s="1"/>
  <c r="AG43" i="1" a="1"/>
  <c r="AG43" i="1" s="1"/>
  <c r="AJ43" i="1" a="1"/>
  <c r="AJ43" i="1" s="1"/>
  <c r="AK43" i="1" a="1"/>
  <c r="AK43" i="1" s="1"/>
  <c r="AL43" i="1" a="1"/>
  <c r="AL43" i="1" s="1"/>
  <c r="AM43" i="1" a="1"/>
  <c r="AM43" i="1" s="1"/>
  <c r="AN43" i="1" a="1"/>
  <c r="AN43" i="1" s="1"/>
  <c r="AO43" i="1" a="1"/>
  <c r="AO43" i="1" s="1"/>
  <c r="AP43" i="1" a="1"/>
  <c r="AP43" i="1" s="1"/>
  <c r="AQ43" i="1" a="1"/>
  <c r="AQ43" i="1" s="1"/>
  <c r="AR43" i="1" a="1"/>
  <c r="AR43" i="1" s="1"/>
  <c r="AS43" i="1" a="1"/>
  <c r="AS43" i="1" s="1"/>
  <c r="AT43" i="1" a="1"/>
  <c r="AT43" i="1" s="1"/>
  <c r="AU43" i="1" a="1"/>
  <c r="AU43" i="1" s="1"/>
  <c r="AV43" i="1" a="1"/>
  <c r="AV43" i="1" s="1"/>
  <c r="AW43" i="1" a="1"/>
  <c r="AW43" i="1" s="1"/>
  <c r="AX43" i="1" a="1"/>
  <c r="AX43" i="1" s="1"/>
  <c r="AY43" i="1" a="1"/>
  <c r="AY43" i="1" s="1"/>
  <c r="AZ43" i="1" a="1"/>
  <c r="AZ43" i="1" s="1"/>
  <c r="BA43" i="1" a="1"/>
  <c r="BA43" i="1" s="1"/>
  <c r="BB43" i="1" a="1"/>
  <c r="BB43" i="1" s="1"/>
  <c r="BC43" i="1" a="1"/>
  <c r="BC43" i="1" s="1"/>
  <c r="BD43" i="1" a="1"/>
  <c r="BD43" i="1" s="1"/>
  <c r="BE43" i="1" a="1"/>
  <c r="BE43" i="1" s="1"/>
  <c r="BF43" i="1" a="1"/>
  <c r="BF43" i="1" s="1"/>
  <c r="BG43" i="1" a="1"/>
  <c r="BG43" i="1" s="1"/>
  <c r="AC44" i="1" a="1"/>
  <c r="AC44" i="1" s="1"/>
  <c r="AE44" i="1" a="1"/>
  <c r="AE44" i="1" s="1"/>
  <c r="AF44" i="1" a="1"/>
  <c r="AF44" i="1" s="1"/>
  <c r="AG44" i="1" a="1"/>
  <c r="AG44" i="1" s="1"/>
  <c r="AH44" i="1" a="1"/>
  <c r="AH44" i="1" s="1"/>
  <c r="AI44" i="1" a="1"/>
  <c r="AI44" i="1" s="1"/>
  <c r="AJ44" i="1" a="1"/>
  <c r="AJ44" i="1" s="1"/>
  <c r="AK44" i="1" a="1"/>
  <c r="AK44" i="1" s="1"/>
  <c r="AL44" i="1" a="1"/>
  <c r="AL44" i="1" s="1"/>
  <c r="AM44" i="1" a="1"/>
  <c r="AM44" i="1" s="1"/>
  <c r="AN44" i="1" a="1"/>
  <c r="AN44" i="1" s="1"/>
  <c r="AO44" i="1" a="1"/>
  <c r="AO44" i="1" s="1"/>
  <c r="AP44" i="1" a="1"/>
  <c r="AP44" i="1" s="1"/>
  <c r="AQ44" i="1" a="1"/>
  <c r="AQ44" i="1" s="1"/>
  <c r="AR44" i="1" a="1"/>
  <c r="AR44" i="1" s="1"/>
  <c r="AS44" i="1" a="1"/>
  <c r="AS44" i="1" s="1"/>
  <c r="AT44" i="1" a="1"/>
  <c r="AT44" i="1" s="1"/>
  <c r="AU44" i="1" a="1"/>
  <c r="AU44" i="1" s="1"/>
  <c r="AV44" i="1" a="1"/>
  <c r="AV44" i="1" s="1"/>
  <c r="AW44" i="1" a="1"/>
  <c r="AW44" i="1" s="1"/>
  <c r="AX44" i="1" a="1"/>
  <c r="AX44" i="1" s="1"/>
  <c r="AY44" i="1" a="1"/>
  <c r="AY44" i="1" s="1"/>
  <c r="AZ44" i="1" a="1"/>
  <c r="AZ44" i="1" s="1"/>
  <c r="BA44" i="1" a="1"/>
  <c r="BA44" i="1" s="1"/>
  <c r="BB44" i="1" a="1"/>
  <c r="BB44" i="1" s="1"/>
  <c r="BC44" i="1" a="1"/>
  <c r="BC44" i="1" s="1"/>
  <c r="BD44" i="1" a="1"/>
  <c r="BD44" i="1" s="1"/>
  <c r="BE44" i="1" a="1"/>
  <c r="BE44" i="1" s="1"/>
  <c r="BF44" i="1" a="1"/>
  <c r="BF44" i="1" s="1"/>
  <c r="BG44" i="1" a="1"/>
  <c r="BG44" i="1" s="1"/>
  <c r="AG45" i="1" a="1"/>
  <c r="AG45" i="1" s="1"/>
  <c r="AH45" i="1" a="1"/>
  <c r="AH45" i="1" s="1"/>
  <c r="AI45" i="1" a="1"/>
  <c r="AI45" i="1" s="1"/>
  <c r="AJ45" i="1" a="1"/>
  <c r="AJ45" i="1" s="1"/>
  <c r="AK45" i="1" a="1"/>
  <c r="AK45" i="1" s="1"/>
  <c r="AL45" i="1" a="1"/>
  <c r="AL45" i="1" s="1"/>
  <c r="AM45" i="1" a="1"/>
  <c r="AM45" i="1" s="1"/>
  <c r="AN45" i="1" a="1"/>
  <c r="AN45" i="1" s="1"/>
  <c r="AO45" i="1" a="1"/>
  <c r="AO45" i="1" s="1"/>
  <c r="AP45" i="1" a="1"/>
  <c r="AP45" i="1" s="1"/>
  <c r="AQ45" i="1" a="1"/>
  <c r="AQ45" i="1" s="1"/>
  <c r="AR45" i="1" a="1"/>
  <c r="AR45" i="1" s="1"/>
  <c r="AS45" i="1" a="1"/>
  <c r="AS45" i="1" s="1"/>
  <c r="AT45" i="1" a="1"/>
  <c r="AT45" i="1" s="1"/>
  <c r="AU45" i="1" a="1"/>
  <c r="AU45" i="1" s="1"/>
  <c r="AV45" i="1" a="1"/>
  <c r="AV45" i="1" s="1"/>
  <c r="AW45" i="1" a="1"/>
  <c r="AW45" i="1" s="1"/>
  <c r="AX45" i="1" a="1"/>
  <c r="AX45" i="1" s="1"/>
  <c r="AY45" i="1" a="1"/>
  <c r="AY45" i="1" s="1"/>
  <c r="AZ45" i="1" a="1"/>
  <c r="AZ45" i="1" s="1"/>
  <c r="BA45" i="1" a="1"/>
  <c r="BA45" i="1" s="1"/>
  <c r="BB45" i="1" a="1"/>
  <c r="BB45" i="1" s="1"/>
  <c r="BC45" i="1" a="1"/>
  <c r="BC45" i="1" s="1"/>
  <c r="BD45" i="1" a="1"/>
  <c r="BD45" i="1" s="1"/>
  <c r="BE45" i="1" a="1"/>
  <c r="BE45" i="1" s="1"/>
  <c r="BF45" i="1" a="1"/>
  <c r="BF45" i="1" s="1"/>
  <c r="BG45" i="1" a="1"/>
  <c r="BG45" i="1" s="1"/>
  <c r="AC46" i="1" a="1"/>
  <c r="AC46" i="1" s="1"/>
  <c r="AD46" i="1" a="1"/>
  <c r="AD46" i="1" s="1"/>
  <c r="AF46" i="1" a="1"/>
  <c r="AF46" i="1" s="1"/>
  <c r="AG46" i="1" a="1"/>
  <c r="AG46" i="1" s="1"/>
  <c r="AH46" i="1" a="1"/>
  <c r="AH46" i="1" s="1"/>
  <c r="AI46" i="1" a="1"/>
  <c r="AI46" i="1" s="1"/>
  <c r="AJ46" i="1" a="1"/>
  <c r="AJ46" i="1" s="1"/>
  <c r="AK46" i="1" a="1"/>
  <c r="AK46" i="1" s="1"/>
  <c r="AL46" i="1" a="1"/>
  <c r="AL46" i="1" s="1"/>
  <c r="AM46" i="1" a="1"/>
  <c r="AM46" i="1" s="1"/>
  <c r="AN46" i="1" a="1"/>
  <c r="AN46" i="1" s="1"/>
  <c r="AO46" i="1" a="1"/>
  <c r="AO46" i="1" s="1"/>
  <c r="AP46" i="1" a="1"/>
  <c r="AP46" i="1" s="1"/>
  <c r="AQ46" i="1" a="1"/>
  <c r="AQ46" i="1" s="1"/>
  <c r="AR46" i="1" a="1"/>
  <c r="AR46" i="1" s="1"/>
  <c r="AS46" i="1" a="1"/>
  <c r="AS46" i="1" s="1"/>
  <c r="AT46" i="1" a="1"/>
  <c r="AT46" i="1" s="1"/>
  <c r="AU46" i="1" a="1"/>
  <c r="AU46" i="1" s="1"/>
  <c r="AV46" i="1" a="1"/>
  <c r="AV46" i="1" s="1"/>
  <c r="AW46" i="1" a="1"/>
  <c r="AW46" i="1" s="1"/>
  <c r="AX46" i="1" a="1"/>
  <c r="AX46" i="1" s="1"/>
  <c r="AY46" i="1" a="1"/>
  <c r="AY46" i="1" s="1"/>
  <c r="AZ46" i="1" a="1"/>
  <c r="AZ46" i="1" s="1"/>
  <c r="BA46" i="1" a="1"/>
  <c r="BA46" i="1" s="1"/>
  <c r="BB46" i="1" a="1"/>
  <c r="BB46" i="1" s="1"/>
  <c r="BC46" i="1" a="1"/>
  <c r="BC46" i="1" s="1"/>
  <c r="BD46" i="1" a="1"/>
  <c r="BD46" i="1" s="1"/>
  <c r="BE46" i="1" a="1"/>
  <c r="BE46" i="1" s="1"/>
  <c r="BF46" i="1" a="1"/>
  <c r="BF46" i="1" s="1"/>
  <c r="BG46" i="1" a="1"/>
  <c r="BG46" i="1" s="1"/>
  <c r="AC47" i="1" a="1"/>
  <c r="AC47" i="1" s="1"/>
  <c r="AD47" i="1" a="1"/>
  <c r="AD47" i="1" s="1"/>
  <c r="AE47" i="1" a="1"/>
  <c r="AE47" i="1" s="1"/>
  <c r="AF47" i="1" a="1"/>
  <c r="AF47" i="1" s="1"/>
  <c r="AG47" i="1" a="1"/>
  <c r="AG47" i="1" s="1"/>
  <c r="AH47" i="1" a="1"/>
  <c r="AH47" i="1" s="1"/>
  <c r="AI47" i="1" a="1"/>
  <c r="AI47" i="1" s="1"/>
  <c r="AJ47" i="1" a="1"/>
  <c r="AJ47" i="1" s="1"/>
  <c r="AK47" i="1" a="1"/>
  <c r="AK47" i="1" s="1"/>
  <c r="AL47" i="1" a="1"/>
  <c r="AL47" i="1" s="1"/>
  <c r="AM47" i="1" a="1"/>
  <c r="AM47" i="1" s="1"/>
  <c r="AN47" i="1" a="1"/>
  <c r="AN47" i="1" s="1"/>
  <c r="AO47" i="1" a="1"/>
  <c r="AO47" i="1" s="1"/>
  <c r="AP47" i="1" a="1"/>
  <c r="AP47" i="1" s="1"/>
  <c r="AQ47" i="1" a="1"/>
  <c r="AQ47" i="1" s="1"/>
  <c r="AR47" i="1" a="1"/>
  <c r="AR47" i="1" s="1"/>
  <c r="AS47" i="1" a="1"/>
  <c r="AS47" i="1" s="1"/>
  <c r="AT47" i="1" a="1"/>
  <c r="AT47" i="1" s="1"/>
  <c r="AU47" i="1" a="1"/>
  <c r="AU47" i="1" s="1"/>
  <c r="AV47" i="1" a="1"/>
  <c r="AV47" i="1" s="1"/>
  <c r="AW47" i="1" a="1"/>
  <c r="AW47" i="1" s="1"/>
  <c r="AX47" i="1" a="1"/>
  <c r="AX47" i="1" s="1"/>
  <c r="AY47" i="1" a="1"/>
  <c r="AY47" i="1" s="1"/>
  <c r="AZ47" i="1" a="1"/>
  <c r="AZ47" i="1" s="1"/>
  <c r="BA47" i="1" a="1"/>
  <c r="BA47" i="1" s="1"/>
  <c r="BB47" i="1" a="1"/>
  <c r="BB47" i="1" s="1"/>
  <c r="BC47" i="1" a="1"/>
  <c r="BC47" i="1" s="1"/>
  <c r="BD47" i="1" a="1"/>
  <c r="BD47" i="1" s="1"/>
  <c r="BE47" i="1" a="1"/>
  <c r="BE47" i="1" s="1"/>
  <c r="BF47" i="1" a="1"/>
  <c r="BF47" i="1" s="1"/>
  <c r="BG47" i="1" a="1"/>
  <c r="BG47" i="1" s="1"/>
  <c r="AJ48" i="1" a="1"/>
  <c r="AJ48" i="1" s="1"/>
  <c r="AK48" i="1" a="1"/>
  <c r="AK48" i="1" s="1"/>
  <c r="AL48" i="1" a="1"/>
  <c r="AL48" i="1" s="1"/>
  <c r="AM48" i="1" a="1"/>
  <c r="AM48" i="1" s="1"/>
  <c r="AN48" i="1" a="1"/>
  <c r="AN48" i="1" s="1"/>
  <c r="AO48" i="1" a="1"/>
  <c r="AO48" i="1" s="1"/>
  <c r="AP48" i="1" a="1"/>
  <c r="AP48" i="1" s="1"/>
  <c r="AQ48" i="1" a="1"/>
  <c r="AQ48" i="1" s="1"/>
  <c r="AR48" i="1" a="1"/>
  <c r="AR48" i="1" s="1"/>
  <c r="AS48" i="1" a="1"/>
  <c r="AS48" i="1" s="1"/>
  <c r="AT48" i="1" a="1"/>
  <c r="AT48" i="1" s="1"/>
  <c r="AU48" i="1" a="1"/>
  <c r="AU48" i="1" s="1"/>
  <c r="AV48" i="1" a="1"/>
  <c r="AV48" i="1" s="1"/>
  <c r="AW48" i="1" a="1"/>
  <c r="AW48" i="1" s="1"/>
  <c r="AX48" i="1" a="1"/>
  <c r="AX48" i="1" s="1"/>
  <c r="AY48" i="1" a="1"/>
  <c r="AY48" i="1" s="1"/>
  <c r="AZ48" i="1" a="1"/>
  <c r="AZ48" i="1" s="1"/>
  <c r="BA48" i="1" a="1"/>
  <c r="BA48" i="1" s="1"/>
  <c r="BB48" i="1" a="1"/>
  <c r="BB48" i="1" s="1"/>
  <c r="BC48" i="1" a="1"/>
  <c r="BC48" i="1" s="1"/>
  <c r="BD48" i="1" a="1"/>
  <c r="BD48" i="1" s="1"/>
  <c r="BE48" i="1" a="1"/>
  <c r="BE48" i="1" s="1"/>
  <c r="BF48" i="1" a="1"/>
  <c r="BF48" i="1" s="1"/>
  <c r="BG48" i="1" a="1"/>
  <c r="BG48" i="1" s="1"/>
  <c r="AC49" i="1" a="1"/>
  <c r="AC49" i="1" s="1"/>
  <c r="AD49" i="1" a="1"/>
  <c r="AD49" i="1" s="1"/>
  <c r="AE49" i="1" a="1"/>
  <c r="AE49" i="1" s="1"/>
  <c r="AF49" i="1" a="1"/>
  <c r="AF49" i="1" s="1"/>
  <c r="AG49" i="1" a="1"/>
  <c r="AG49" i="1" s="1"/>
  <c r="AH49" i="1" a="1"/>
  <c r="AH49" i="1" s="1"/>
  <c r="AI49" i="1" a="1"/>
  <c r="AI49" i="1" s="1"/>
  <c r="AJ49" i="1" a="1"/>
  <c r="AJ49" i="1" s="1"/>
  <c r="AK49" i="1" a="1"/>
  <c r="AK49" i="1" s="1"/>
  <c r="AL49" i="1" a="1"/>
  <c r="AL49" i="1" s="1"/>
  <c r="AM49" i="1" a="1"/>
  <c r="AM49" i="1" s="1"/>
  <c r="AN49" i="1" a="1"/>
  <c r="AN49" i="1" s="1"/>
  <c r="AO49" i="1" a="1"/>
  <c r="AO49" i="1" s="1"/>
  <c r="AP49" i="1" a="1"/>
  <c r="AP49" i="1" s="1"/>
  <c r="AQ49" i="1" a="1"/>
  <c r="AQ49" i="1" s="1"/>
  <c r="AR49" i="1" a="1"/>
  <c r="AR49" i="1" s="1"/>
  <c r="AS49" i="1" a="1"/>
  <c r="AS49" i="1" s="1"/>
  <c r="AT49" i="1" a="1"/>
  <c r="AT49" i="1" s="1"/>
  <c r="AU49" i="1" a="1"/>
  <c r="AU49" i="1" s="1"/>
  <c r="AV49" i="1" a="1"/>
  <c r="AV49" i="1" s="1"/>
  <c r="AW49" i="1" a="1"/>
  <c r="AW49" i="1" s="1"/>
  <c r="AX49" i="1" a="1"/>
  <c r="AX49" i="1" s="1"/>
  <c r="AY49" i="1" a="1"/>
  <c r="AY49" i="1" s="1"/>
  <c r="AZ49" i="1" a="1"/>
  <c r="AZ49" i="1" s="1"/>
  <c r="BA49" i="1" a="1"/>
  <c r="BA49" i="1" s="1"/>
  <c r="BB49" i="1" a="1"/>
  <c r="BB49" i="1" s="1"/>
  <c r="BC49" i="1" a="1"/>
  <c r="BC49" i="1" s="1"/>
  <c r="BD49" i="1" a="1"/>
  <c r="BD49" i="1" s="1"/>
  <c r="BE49" i="1" a="1"/>
  <c r="BE49" i="1" s="1"/>
  <c r="BF49" i="1" a="1"/>
  <c r="BF49" i="1" s="1"/>
  <c r="BG49" i="1" a="1"/>
  <c r="BG49" i="1" s="1"/>
  <c r="AC50" i="1" a="1"/>
  <c r="AC50" i="1" s="1"/>
  <c r="AD50" i="1" a="1"/>
  <c r="AD50" i="1" s="1"/>
  <c r="AE50" i="1" a="1"/>
  <c r="AE50" i="1" s="1"/>
  <c r="AF50" i="1" a="1"/>
  <c r="AF50" i="1" s="1"/>
  <c r="AH50" i="1" a="1"/>
  <c r="AH50" i="1" s="1"/>
  <c r="AI50" i="1" a="1"/>
  <c r="AI50" i="1" s="1"/>
  <c r="AJ50" i="1" a="1"/>
  <c r="AJ50" i="1" s="1"/>
  <c r="AK50" i="1" a="1"/>
  <c r="AK50" i="1" s="1"/>
  <c r="AL50" i="1" a="1"/>
  <c r="AL50" i="1" s="1"/>
  <c r="AM50" i="1" a="1"/>
  <c r="AM50" i="1" s="1"/>
  <c r="AN50" i="1" a="1"/>
  <c r="AN50" i="1" s="1"/>
  <c r="AO50" i="1" a="1"/>
  <c r="AO50" i="1" s="1"/>
  <c r="AP50" i="1" a="1"/>
  <c r="AP50" i="1" s="1"/>
  <c r="AQ50" i="1" a="1"/>
  <c r="AQ50" i="1" s="1"/>
  <c r="AR50" i="1" a="1"/>
  <c r="AR50" i="1" s="1"/>
  <c r="AS50" i="1" a="1"/>
  <c r="AS50" i="1" s="1"/>
  <c r="AT50" i="1" a="1"/>
  <c r="AT50" i="1" s="1"/>
  <c r="AU50" i="1" a="1"/>
  <c r="AU50" i="1" s="1"/>
  <c r="AV50" i="1" a="1"/>
  <c r="AV50" i="1" s="1"/>
  <c r="AW50" i="1" a="1"/>
  <c r="AW50" i="1" s="1"/>
  <c r="AX50" i="1" a="1"/>
  <c r="AX50" i="1" s="1"/>
  <c r="AY50" i="1" a="1"/>
  <c r="AY50" i="1" s="1"/>
  <c r="AZ50" i="1" a="1"/>
  <c r="AZ50" i="1" s="1"/>
  <c r="BA50" i="1" a="1"/>
  <c r="BA50" i="1" s="1"/>
  <c r="BB50" i="1" a="1"/>
  <c r="BB50" i="1" s="1"/>
  <c r="BC50" i="1" a="1"/>
  <c r="BC50" i="1" s="1"/>
  <c r="BD50" i="1" a="1"/>
  <c r="BD50" i="1" s="1"/>
  <c r="BE50" i="1" a="1"/>
  <c r="BE50" i="1" s="1"/>
  <c r="BF50" i="1" a="1"/>
  <c r="BF50" i="1" s="1"/>
  <c r="BG50" i="1" a="1"/>
  <c r="BG50" i="1" s="1"/>
  <c r="AC51" i="1" a="1"/>
  <c r="AC51" i="1" s="1"/>
  <c r="AD51" i="1" a="1"/>
  <c r="AD51" i="1" s="1"/>
  <c r="AE51" i="1" a="1"/>
  <c r="AE51" i="1" s="1"/>
  <c r="AF51" i="1" a="1"/>
  <c r="AF51" i="1" s="1"/>
  <c r="AG51" i="1" a="1"/>
  <c r="AG51" i="1" s="1"/>
  <c r="AH51" i="1" a="1"/>
  <c r="AH51" i="1" s="1"/>
  <c r="AI51" i="1" a="1"/>
  <c r="AI51" i="1" s="1"/>
  <c r="AJ51" i="1" a="1"/>
  <c r="AJ51" i="1" s="1"/>
  <c r="AK51" i="1" a="1"/>
  <c r="AK51" i="1" s="1"/>
  <c r="AL51" i="1" a="1"/>
  <c r="AL51" i="1" s="1"/>
  <c r="AM51" i="1" a="1"/>
  <c r="AM51" i="1" s="1"/>
  <c r="AN51" i="1" a="1"/>
  <c r="AN51" i="1" s="1"/>
  <c r="AO51" i="1" a="1"/>
  <c r="AO51" i="1" s="1"/>
  <c r="AP51" i="1" a="1"/>
  <c r="AP51" i="1" s="1"/>
  <c r="AQ51" i="1" a="1"/>
  <c r="AQ51" i="1" s="1"/>
  <c r="AR51" i="1" a="1"/>
  <c r="AR51" i="1" s="1"/>
  <c r="AS51" i="1" a="1"/>
  <c r="AS51" i="1" s="1"/>
  <c r="AT51" i="1" a="1"/>
  <c r="AT51" i="1" s="1"/>
  <c r="AU51" i="1" a="1"/>
  <c r="AU51" i="1" s="1"/>
  <c r="AV51" i="1" a="1"/>
  <c r="AV51" i="1" s="1"/>
  <c r="AW51" i="1" a="1"/>
  <c r="AW51" i="1" s="1"/>
  <c r="AX51" i="1" a="1"/>
  <c r="AX51" i="1" s="1"/>
  <c r="AY51" i="1" a="1"/>
  <c r="AY51" i="1" s="1"/>
  <c r="AZ51" i="1" a="1"/>
  <c r="AZ51" i="1" s="1"/>
  <c r="BA51" i="1" a="1"/>
  <c r="BA51" i="1" s="1"/>
  <c r="BB51" i="1" a="1"/>
  <c r="BB51" i="1" s="1"/>
  <c r="BC51" i="1" a="1"/>
  <c r="BC51" i="1" s="1"/>
  <c r="BD51" i="1" a="1"/>
  <c r="BD51" i="1" s="1"/>
  <c r="BE51" i="1" a="1"/>
  <c r="BE51" i="1" s="1"/>
  <c r="BF51" i="1" a="1"/>
  <c r="BF51" i="1" s="1"/>
  <c r="BG51" i="1" a="1"/>
  <c r="BG51" i="1" s="1"/>
  <c r="AC54" i="1" a="1"/>
  <c r="AC54" i="1" s="1"/>
  <c r="AD54" i="1" a="1"/>
  <c r="AD54" i="1" s="1"/>
  <c r="AE54" i="1" a="1"/>
  <c r="AE54" i="1" s="1"/>
  <c r="AF54" i="1" a="1"/>
  <c r="AF54" i="1" s="1"/>
  <c r="AG54" i="1" a="1"/>
  <c r="AG54" i="1" s="1"/>
  <c r="AH54" i="1" a="1"/>
  <c r="AH54" i="1" s="1"/>
  <c r="AI54" i="1" a="1"/>
  <c r="AI54" i="1" s="1"/>
  <c r="AJ54" i="1" a="1"/>
  <c r="AJ54" i="1" s="1"/>
  <c r="AK54" i="1" a="1"/>
  <c r="AK54" i="1" s="1"/>
  <c r="AL54" i="1" a="1"/>
  <c r="AL54" i="1" s="1"/>
  <c r="AM54" i="1" a="1"/>
  <c r="AM54" i="1" s="1"/>
  <c r="AN54" i="1" a="1"/>
  <c r="AN54" i="1" s="1"/>
  <c r="AO54" i="1" a="1"/>
  <c r="AO54" i="1" s="1"/>
  <c r="AP54" i="1" a="1"/>
  <c r="AP54" i="1" s="1"/>
  <c r="AQ54" i="1" a="1"/>
  <c r="AQ54" i="1" s="1"/>
  <c r="AR54" i="1" a="1"/>
  <c r="AR54" i="1" s="1"/>
  <c r="AS54" i="1" a="1"/>
  <c r="AS54" i="1" s="1"/>
  <c r="AT54" i="1" a="1"/>
  <c r="AT54" i="1" s="1"/>
  <c r="AU54" i="1" a="1"/>
  <c r="AU54" i="1" s="1"/>
  <c r="AV54" i="1" a="1"/>
  <c r="AV54" i="1" s="1"/>
  <c r="AW54" i="1" a="1"/>
  <c r="AW54" i="1" s="1"/>
  <c r="AX54" i="1" a="1"/>
  <c r="AX54" i="1" s="1"/>
  <c r="AY54" i="1" a="1"/>
  <c r="AY54" i="1" s="1"/>
  <c r="AZ54" i="1" a="1"/>
  <c r="AZ54" i="1" s="1"/>
  <c r="BA54" i="1" a="1"/>
  <c r="BA54" i="1" s="1"/>
  <c r="BB54" i="1" a="1"/>
  <c r="BB54" i="1" s="1"/>
  <c r="BC54" i="1" a="1"/>
  <c r="BC54" i="1" s="1"/>
  <c r="BD54" i="1" a="1"/>
  <c r="BD54" i="1" s="1"/>
  <c r="BE54" i="1" a="1"/>
  <c r="BE54" i="1" s="1"/>
  <c r="BF54" i="1" a="1"/>
  <c r="BF54" i="1" s="1"/>
  <c r="BG54" i="1" a="1"/>
  <c r="BG54" i="1" s="1"/>
  <c r="AC55" i="1" a="1"/>
  <c r="AC55" i="1" s="1"/>
  <c r="AD55" i="1" a="1"/>
  <c r="AD55" i="1" s="1"/>
  <c r="AE55" i="1" a="1"/>
  <c r="AE55" i="1" s="1"/>
  <c r="AF55" i="1" a="1"/>
  <c r="AF55" i="1" s="1"/>
  <c r="AG55" i="1" a="1"/>
  <c r="AG55" i="1" s="1"/>
  <c r="AH55" i="1" a="1"/>
  <c r="AH55" i="1" s="1"/>
  <c r="AI55" i="1" a="1"/>
  <c r="AI55" i="1" s="1"/>
  <c r="AK55" i="1" a="1"/>
  <c r="AK55" i="1" s="1"/>
  <c r="AL55" i="1" a="1"/>
  <c r="AL55" i="1" s="1"/>
  <c r="AM55" i="1" a="1"/>
  <c r="AM55" i="1" s="1"/>
  <c r="AN55" i="1" a="1"/>
  <c r="AN55" i="1" s="1"/>
  <c r="AO55" i="1" a="1"/>
  <c r="AO55" i="1" s="1"/>
  <c r="AP55" i="1" a="1"/>
  <c r="AP55" i="1" s="1"/>
  <c r="AQ55" i="1" a="1"/>
  <c r="AQ55" i="1" s="1"/>
  <c r="AR55" i="1" a="1"/>
  <c r="AR55" i="1" s="1"/>
  <c r="AS55" i="1" a="1"/>
  <c r="AS55" i="1" s="1"/>
  <c r="AT55" i="1" a="1"/>
  <c r="AT55" i="1" s="1"/>
  <c r="AU55" i="1" a="1"/>
  <c r="AU55" i="1" s="1"/>
  <c r="AV55" i="1" a="1"/>
  <c r="AV55" i="1" s="1"/>
  <c r="AW55" i="1" a="1"/>
  <c r="AW55" i="1" s="1"/>
  <c r="AX55" i="1" a="1"/>
  <c r="AX55" i="1" s="1"/>
  <c r="AY55" i="1" a="1"/>
  <c r="AY55" i="1" s="1"/>
  <c r="AZ55" i="1" a="1"/>
  <c r="AZ55" i="1" s="1"/>
  <c r="BA55" i="1" a="1"/>
  <c r="BA55" i="1" s="1"/>
  <c r="BB55" i="1" a="1"/>
  <c r="BB55" i="1" s="1"/>
  <c r="BC55" i="1" a="1"/>
  <c r="BC55" i="1" s="1"/>
  <c r="BD55" i="1" a="1"/>
  <c r="BD55" i="1" s="1"/>
  <c r="BE55" i="1" a="1"/>
  <c r="BE55" i="1" s="1"/>
  <c r="BF55" i="1" a="1"/>
  <c r="BF55" i="1" s="1"/>
  <c r="BG55" i="1" a="1"/>
  <c r="BG55" i="1" s="1"/>
  <c r="AC56" i="1" a="1"/>
  <c r="AC56" i="1" s="1"/>
  <c r="AD56" i="1" a="1"/>
  <c r="AD56" i="1" s="1"/>
  <c r="AE56" i="1" a="1"/>
  <c r="AE56" i="1" s="1"/>
  <c r="AF56" i="1" a="1"/>
  <c r="AF56" i="1" s="1"/>
  <c r="AG56" i="1" a="1"/>
  <c r="AG56" i="1" s="1"/>
  <c r="AH56" i="1" a="1"/>
  <c r="AH56" i="1" s="1"/>
  <c r="AI56" i="1" a="1"/>
  <c r="AI56" i="1" s="1"/>
  <c r="AJ56" i="1" a="1"/>
  <c r="AJ56" i="1" s="1"/>
  <c r="AK56" i="1" a="1"/>
  <c r="AK56" i="1" s="1"/>
  <c r="AL56" i="1" a="1"/>
  <c r="AL56" i="1" s="1"/>
  <c r="AM56" i="1" a="1"/>
  <c r="AM56" i="1" s="1"/>
  <c r="AN56" i="1" a="1"/>
  <c r="AN56" i="1" s="1"/>
  <c r="AO56" i="1" a="1"/>
  <c r="AO56" i="1" s="1"/>
  <c r="AP56" i="1" a="1"/>
  <c r="AP56" i="1" s="1"/>
  <c r="AQ56" i="1" a="1"/>
  <c r="AQ56" i="1" s="1"/>
  <c r="AR56" i="1" a="1"/>
  <c r="AR56" i="1" s="1"/>
  <c r="AS56" i="1" a="1"/>
  <c r="AS56" i="1" s="1"/>
  <c r="AT56" i="1" a="1"/>
  <c r="AT56" i="1" s="1"/>
  <c r="AU56" i="1" a="1"/>
  <c r="AU56" i="1" s="1"/>
  <c r="AV56" i="1" a="1"/>
  <c r="AV56" i="1" s="1"/>
  <c r="AW56" i="1" a="1"/>
  <c r="AW56" i="1" s="1"/>
  <c r="AX56" i="1" a="1"/>
  <c r="AX56" i="1" s="1"/>
  <c r="AY56" i="1" a="1"/>
  <c r="AY56" i="1" s="1"/>
  <c r="AZ56" i="1" a="1"/>
  <c r="AZ56" i="1" s="1"/>
  <c r="BA56" i="1" a="1"/>
  <c r="BA56" i="1" s="1"/>
  <c r="BB56" i="1" a="1"/>
  <c r="BB56" i="1" s="1"/>
  <c r="BC56" i="1" a="1"/>
  <c r="BC56" i="1" s="1"/>
  <c r="BD56" i="1" a="1"/>
  <c r="BD56" i="1" s="1"/>
  <c r="BE56" i="1" a="1"/>
  <c r="BE56" i="1" s="1"/>
  <c r="BF56" i="1" a="1"/>
  <c r="BF56" i="1" s="1"/>
  <c r="BG56" i="1" a="1"/>
  <c r="BG56" i="1" s="1"/>
  <c r="AC57" i="1" a="1"/>
  <c r="AC57" i="1" s="1"/>
  <c r="AD57" i="1" a="1"/>
  <c r="AD57" i="1" s="1"/>
  <c r="AE57" i="1" a="1"/>
  <c r="AE57" i="1" s="1"/>
  <c r="AF57" i="1" a="1"/>
  <c r="AF57" i="1" s="1"/>
  <c r="AG57" i="1" a="1"/>
  <c r="AG57" i="1" s="1"/>
  <c r="AH57" i="1" a="1"/>
  <c r="AH57" i="1" s="1"/>
  <c r="AI57" i="1" a="1"/>
  <c r="AI57" i="1" s="1"/>
  <c r="AJ57" i="1" a="1"/>
  <c r="AJ57" i="1" s="1"/>
  <c r="AK57" i="1" a="1"/>
  <c r="AK57" i="1" s="1"/>
  <c r="AL57" i="1" a="1"/>
  <c r="AL57" i="1" s="1"/>
  <c r="AM57" i="1" a="1"/>
  <c r="AM57" i="1" s="1"/>
  <c r="AN57" i="1" a="1"/>
  <c r="AN57" i="1" s="1"/>
  <c r="AO57" i="1" a="1"/>
  <c r="AO57" i="1" s="1"/>
  <c r="AP57" i="1" a="1"/>
  <c r="AP57" i="1" s="1"/>
  <c r="AQ57" i="1" a="1"/>
  <c r="AQ57" i="1" s="1"/>
  <c r="AR57" i="1" a="1"/>
  <c r="AR57" i="1" s="1"/>
  <c r="AS57" i="1" a="1"/>
  <c r="AS57" i="1" s="1"/>
  <c r="AT57" i="1" a="1"/>
  <c r="AT57" i="1" s="1"/>
  <c r="AU57" i="1" a="1"/>
  <c r="AU57" i="1" s="1"/>
  <c r="AV57" i="1" a="1"/>
  <c r="AV57" i="1" s="1"/>
  <c r="AW57" i="1" a="1"/>
  <c r="AW57" i="1" s="1"/>
  <c r="AX57" i="1" a="1"/>
  <c r="AX57" i="1" s="1"/>
  <c r="AY57" i="1" a="1"/>
  <c r="AY57" i="1" s="1"/>
  <c r="AZ57" i="1" a="1"/>
  <c r="AZ57" i="1" s="1"/>
  <c r="BA57" i="1" a="1"/>
  <c r="BA57" i="1" s="1"/>
  <c r="BB57" i="1" a="1"/>
  <c r="BB57" i="1" s="1"/>
  <c r="BC57" i="1" a="1"/>
  <c r="BC57" i="1" s="1"/>
  <c r="BD57" i="1" a="1"/>
  <c r="BD57" i="1" s="1"/>
  <c r="BE57" i="1" a="1"/>
  <c r="BE57" i="1" s="1"/>
  <c r="BF57" i="1" a="1"/>
  <c r="BF57" i="1" s="1"/>
  <c r="BG57" i="1" a="1"/>
  <c r="BG57" i="1" s="1"/>
  <c r="AC58" i="1" a="1"/>
  <c r="AC58" i="1" s="1"/>
  <c r="AD58" i="1" a="1"/>
  <c r="AD58" i="1" s="1"/>
  <c r="AE58" i="1" a="1"/>
  <c r="AE58" i="1" s="1"/>
  <c r="AF58" i="1" a="1"/>
  <c r="AF58" i="1" s="1"/>
  <c r="AG58" i="1" a="1"/>
  <c r="AG58" i="1" s="1"/>
  <c r="AH58" i="1" a="1"/>
  <c r="AH58" i="1" s="1"/>
  <c r="AI58" i="1" a="1"/>
  <c r="AI58" i="1" s="1"/>
  <c r="AJ58" i="1" a="1"/>
  <c r="AJ58" i="1" s="1"/>
  <c r="AK58" i="1" a="1"/>
  <c r="AK58" i="1" s="1"/>
  <c r="AL58" i="1" a="1"/>
  <c r="AL58" i="1" s="1"/>
  <c r="AM58" i="1" a="1"/>
  <c r="AM58" i="1" s="1"/>
  <c r="AN58" i="1" a="1"/>
  <c r="AN58" i="1" s="1"/>
  <c r="AO58" i="1" a="1"/>
  <c r="AO58" i="1" s="1"/>
  <c r="AP58" i="1" a="1"/>
  <c r="AP58" i="1" s="1"/>
  <c r="AQ58" i="1" a="1"/>
  <c r="AQ58" i="1" s="1"/>
  <c r="AR58" i="1" a="1"/>
  <c r="AR58" i="1" s="1"/>
  <c r="AS58" i="1" a="1"/>
  <c r="AS58" i="1" s="1"/>
  <c r="AT58" i="1" a="1"/>
  <c r="AT58" i="1" s="1"/>
  <c r="AU58" i="1" a="1"/>
  <c r="AU58" i="1" s="1"/>
  <c r="AV58" i="1" a="1"/>
  <c r="AV58" i="1" s="1"/>
  <c r="AW58" i="1" a="1"/>
  <c r="AW58" i="1" s="1"/>
  <c r="AX58" i="1" a="1"/>
  <c r="AX58" i="1" s="1"/>
  <c r="AY58" i="1" a="1"/>
  <c r="AY58" i="1" s="1"/>
  <c r="AZ58" i="1" a="1"/>
  <c r="AZ58" i="1" s="1"/>
  <c r="BA58" i="1" a="1"/>
  <c r="BA58" i="1" s="1"/>
  <c r="BB58" i="1" a="1"/>
  <c r="BB58" i="1" s="1"/>
  <c r="BC58" i="1" a="1"/>
  <c r="BC58" i="1" s="1"/>
  <c r="BD58" i="1" a="1"/>
  <c r="BD58" i="1" s="1"/>
  <c r="BE58" i="1" a="1"/>
  <c r="BE58" i="1" s="1"/>
  <c r="BF58" i="1" a="1"/>
  <c r="BF58" i="1" s="1"/>
  <c r="BG58" i="1" a="1"/>
  <c r="BG58" i="1" s="1"/>
  <c r="AC60" i="1" a="1"/>
  <c r="AC60" i="1" s="1"/>
  <c r="AE60" i="1" a="1"/>
  <c r="AE60" i="1" s="1"/>
  <c r="AF60" i="1" a="1"/>
  <c r="AF60" i="1" s="1"/>
  <c r="AG60" i="1" a="1"/>
  <c r="AG60" i="1" s="1"/>
  <c r="AH60" i="1" a="1"/>
  <c r="AH60" i="1" s="1"/>
  <c r="AI60" i="1" a="1"/>
  <c r="AI60" i="1" s="1"/>
  <c r="AJ60" i="1" a="1"/>
  <c r="AJ60" i="1" s="1"/>
  <c r="AK60" i="1" a="1"/>
  <c r="AK60" i="1" s="1"/>
  <c r="AL60" i="1" a="1"/>
  <c r="AL60" i="1" s="1"/>
  <c r="AM60" i="1" a="1"/>
  <c r="AM60" i="1" s="1"/>
  <c r="AN60" i="1" a="1"/>
  <c r="AN60" i="1" s="1"/>
  <c r="AO60" i="1" a="1"/>
  <c r="AO60" i="1" s="1"/>
  <c r="AP60" i="1" a="1"/>
  <c r="AP60" i="1" s="1"/>
  <c r="AQ60" i="1" a="1"/>
  <c r="AQ60" i="1" s="1"/>
  <c r="AR60" i="1" a="1"/>
  <c r="AR60" i="1" s="1"/>
  <c r="AS60" i="1" a="1"/>
  <c r="AS60" i="1" s="1"/>
  <c r="AT60" i="1" a="1"/>
  <c r="AT60" i="1" s="1"/>
  <c r="AU60" i="1" a="1"/>
  <c r="AU60" i="1" s="1"/>
  <c r="AV60" i="1" a="1"/>
  <c r="AV60" i="1" s="1"/>
  <c r="AW60" i="1" a="1"/>
  <c r="AW60" i="1" s="1"/>
  <c r="AX60" i="1" a="1"/>
  <c r="AX60" i="1" s="1"/>
  <c r="AY60" i="1" a="1"/>
  <c r="AY60" i="1" s="1"/>
  <c r="AZ60" i="1" a="1"/>
  <c r="AZ60" i="1" s="1"/>
  <c r="BA60" i="1" a="1"/>
  <c r="BA60" i="1" s="1"/>
  <c r="BB60" i="1" a="1"/>
  <c r="BB60" i="1" s="1"/>
  <c r="BC60" i="1" a="1"/>
  <c r="BC60" i="1" s="1"/>
  <c r="BD60" i="1" a="1"/>
  <c r="BD60" i="1" s="1"/>
  <c r="BE60" i="1" a="1"/>
  <c r="BE60" i="1" s="1"/>
  <c r="BF60" i="1" a="1"/>
  <c r="BF60" i="1" s="1"/>
  <c r="BG60" i="1" a="1"/>
  <c r="BG60" i="1" s="1"/>
  <c r="AC62" i="1" a="1"/>
  <c r="AC62" i="1" s="1"/>
  <c r="AD62" i="1" a="1"/>
  <c r="AD62" i="1" s="1"/>
  <c r="AE62" i="1" a="1"/>
  <c r="AE62" i="1" s="1"/>
  <c r="AF62" i="1" a="1"/>
  <c r="AF62" i="1" s="1"/>
  <c r="AG62" i="1" a="1"/>
  <c r="AG62" i="1" s="1"/>
  <c r="AH62" i="1" a="1"/>
  <c r="AH62" i="1" s="1"/>
  <c r="AI62" i="1" a="1"/>
  <c r="AI62" i="1" s="1"/>
  <c r="AJ62" i="1" a="1"/>
  <c r="AJ62" i="1" s="1"/>
  <c r="AK62" i="1" a="1"/>
  <c r="AK62" i="1" s="1"/>
  <c r="AL62" i="1" a="1"/>
  <c r="AL62" i="1" s="1"/>
  <c r="AM62" i="1" a="1"/>
  <c r="AM62" i="1" s="1"/>
  <c r="AN62" i="1" a="1"/>
  <c r="AN62" i="1" s="1"/>
  <c r="AO62" i="1" a="1"/>
  <c r="AO62" i="1" s="1"/>
  <c r="AP62" i="1" a="1"/>
  <c r="AP62" i="1" s="1"/>
  <c r="AQ62" i="1" a="1"/>
  <c r="AQ62" i="1" s="1"/>
  <c r="AR62" i="1" a="1"/>
  <c r="AR62" i="1" s="1"/>
  <c r="AS62" i="1" a="1"/>
  <c r="AS62" i="1" s="1"/>
  <c r="AT62" i="1" a="1"/>
  <c r="AT62" i="1" s="1"/>
  <c r="AU62" i="1" a="1"/>
  <c r="AU62" i="1" s="1"/>
  <c r="AV62" i="1" a="1"/>
  <c r="AV62" i="1" s="1"/>
  <c r="AW62" i="1" a="1"/>
  <c r="AW62" i="1" s="1"/>
  <c r="AX62" i="1" a="1"/>
  <c r="AX62" i="1" s="1"/>
  <c r="AY62" i="1" a="1"/>
  <c r="AY62" i="1" s="1"/>
  <c r="AZ62" i="1" a="1"/>
  <c r="AZ62" i="1" s="1"/>
  <c r="BA62" i="1" a="1"/>
  <c r="BA62" i="1" s="1"/>
  <c r="BB62" i="1" a="1"/>
  <c r="BB62" i="1" s="1"/>
  <c r="BC62" i="1" a="1"/>
  <c r="BC62" i="1" s="1"/>
  <c r="BD62" i="1" a="1"/>
  <c r="BD62" i="1" s="1"/>
  <c r="BE62" i="1" a="1"/>
  <c r="BE62" i="1" s="1"/>
  <c r="BF62" i="1" a="1"/>
  <c r="BF62" i="1" s="1"/>
  <c r="BG62" i="1" a="1"/>
  <c r="BG62" i="1" s="1"/>
  <c r="AC63" i="1" a="1"/>
  <c r="AC63" i="1" s="1"/>
  <c r="AD63" i="1" a="1"/>
  <c r="AD63" i="1" s="1"/>
  <c r="AE63" i="1" a="1"/>
  <c r="AE63" i="1" s="1"/>
  <c r="AF63" i="1" a="1"/>
  <c r="AF63" i="1" s="1"/>
  <c r="AG63" i="1" a="1"/>
  <c r="AG63" i="1" s="1"/>
  <c r="AH63" i="1" a="1"/>
  <c r="AH63" i="1" s="1"/>
  <c r="AI63" i="1" a="1"/>
  <c r="AI63" i="1" s="1"/>
  <c r="AJ63" i="1" a="1"/>
  <c r="AJ63" i="1" s="1"/>
  <c r="AK63" i="1" a="1"/>
  <c r="AK63" i="1" s="1"/>
  <c r="AL63" i="1" a="1"/>
  <c r="AL63" i="1" s="1"/>
  <c r="AM63" i="1" a="1"/>
  <c r="AM63" i="1" s="1"/>
  <c r="AN63" i="1" a="1"/>
  <c r="AN63" i="1" s="1"/>
  <c r="AO63" i="1" a="1"/>
  <c r="AO63" i="1" s="1"/>
  <c r="AP63" i="1" a="1"/>
  <c r="AP63" i="1" s="1"/>
  <c r="AQ63" i="1" a="1"/>
  <c r="AQ63" i="1" s="1"/>
  <c r="AR63" i="1" a="1"/>
  <c r="AR63" i="1" s="1"/>
  <c r="AS63" i="1" a="1"/>
  <c r="AS63" i="1" s="1"/>
  <c r="AT63" i="1" a="1"/>
  <c r="AT63" i="1" s="1"/>
  <c r="AU63" i="1" a="1"/>
  <c r="AU63" i="1" s="1"/>
  <c r="AV63" i="1" a="1"/>
  <c r="AV63" i="1" s="1"/>
  <c r="AW63" i="1" a="1"/>
  <c r="AW63" i="1" s="1"/>
  <c r="AX63" i="1" a="1"/>
  <c r="AX63" i="1" s="1"/>
  <c r="AY63" i="1" a="1"/>
  <c r="AY63" i="1" s="1"/>
  <c r="AZ63" i="1" a="1"/>
  <c r="AZ63" i="1" s="1"/>
  <c r="BA63" i="1" a="1"/>
  <c r="BA63" i="1" s="1"/>
  <c r="BB63" i="1" a="1"/>
  <c r="BB63" i="1" s="1"/>
  <c r="BC63" i="1" a="1"/>
  <c r="BC63" i="1" s="1"/>
  <c r="BD63" i="1" a="1"/>
  <c r="BD63" i="1" s="1"/>
  <c r="BE63" i="1" a="1"/>
  <c r="BE63" i="1" s="1"/>
  <c r="BF63" i="1" a="1"/>
  <c r="BF63" i="1" s="1"/>
  <c r="BG63" i="1" a="1"/>
  <c r="BG63" i="1" s="1"/>
  <c r="AI64" i="1" a="1"/>
  <c r="AI64" i="1" s="1"/>
  <c r="AK64" i="1" a="1"/>
  <c r="AK64" i="1" s="1"/>
  <c r="AL64" i="1" a="1"/>
  <c r="AL64" i="1" s="1"/>
  <c r="AM64" i="1" a="1"/>
  <c r="AM64" i="1" s="1"/>
  <c r="AN64" i="1" a="1"/>
  <c r="AN64" i="1" s="1"/>
  <c r="AO64" i="1" a="1"/>
  <c r="AO64" i="1" s="1"/>
  <c r="AP64" i="1" a="1"/>
  <c r="AP64" i="1" s="1"/>
  <c r="AQ64" i="1" a="1"/>
  <c r="AQ64" i="1" s="1"/>
  <c r="AR64" i="1" a="1"/>
  <c r="AR64" i="1" s="1"/>
  <c r="AS64" i="1" a="1"/>
  <c r="AS64" i="1" s="1"/>
  <c r="AT64" i="1" a="1"/>
  <c r="AT64" i="1" s="1"/>
  <c r="AU64" i="1" a="1"/>
  <c r="AU64" i="1" s="1"/>
  <c r="AV64" i="1" a="1"/>
  <c r="AV64" i="1" s="1"/>
  <c r="AW64" i="1" a="1"/>
  <c r="AW64" i="1" s="1"/>
  <c r="AX64" i="1" a="1"/>
  <c r="AX64" i="1" s="1"/>
  <c r="AY64" i="1" a="1"/>
  <c r="AY64" i="1" s="1"/>
  <c r="AZ64" i="1" a="1"/>
  <c r="AZ64" i="1" s="1"/>
  <c r="BA64" i="1" a="1"/>
  <c r="BA64" i="1" s="1"/>
  <c r="BB64" i="1" a="1"/>
  <c r="BB64" i="1" s="1"/>
  <c r="BC64" i="1" a="1"/>
  <c r="BC64" i="1" s="1"/>
  <c r="BD64" i="1" a="1"/>
  <c r="BD64" i="1" s="1"/>
  <c r="BE64" i="1" a="1"/>
  <c r="BE64" i="1" s="1"/>
  <c r="BF64" i="1" a="1"/>
  <c r="BF64" i="1" s="1"/>
  <c r="BG64" i="1" a="1"/>
  <c r="BG64" i="1" s="1"/>
  <c r="AC65" i="1" a="1"/>
  <c r="AC65" i="1" s="1"/>
  <c r="AD65" i="1" a="1"/>
  <c r="AD65" i="1" s="1"/>
  <c r="AE65" i="1" a="1"/>
  <c r="AE65" i="1" s="1"/>
  <c r="AF65" i="1" a="1"/>
  <c r="AF65" i="1" s="1"/>
  <c r="AG65" i="1" a="1"/>
  <c r="AG65" i="1" s="1"/>
  <c r="AH65" i="1" a="1"/>
  <c r="AH65" i="1" s="1"/>
  <c r="AI65" i="1" a="1"/>
  <c r="AI65" i="1" s="1"/>
  <c r="AJ65" i="1" a="1"/>
  <c r="AJ65" i="1" s="1"/>
  <c r="AK65" i="1" a="1"/>
  <c r="AK65" i="1" s="1"/>
  <c r="AL65" i="1" a="1"/>
  <c r="AL65" i="1" s="1"/>
  <c r="AM65" i="1" a="1"/>
  <c r="AM65" i="1" s="1"/>
  <c r="AN65" i="1" a="1"/>
  <c r="AN65" i="1" s="1"/>
  <c r="AO65" i="1" a="1"/>
  <c r="AO65" i="1" s="1"/>
  <c r="AP65" i="1" a="1"/>
  <c r="AP65" i="1" s="1"/>
  <c r="AQ65" i="1" a="1"/>
  <c r="AQ65" i="1" s="1"/>
  <c r="AR65" i="1" a="1"/>
  <c r="AR65" i="1" s="1"/>
  <c r="AS65" i="1" a="1"/>
  <c r="AS65" i="1" s="1"/>
  <c r="AT65" i="1" a="1"/>
  <c r="AT65" i="1" s="1"/>
  <c r="AU65" i="1" a="1"/>
  <c r="AU65" i="1" s="1"/>
  <c r="AV65" i="1" a="1"/>
  <c r="AV65" i="1" s="1"/>
  <c r="AW65" i="1" a="1"/>
  <c r="AW65" i="1" s="1"/>
  <c r="AX65" i="1" a="1"/>
  <c r="AX65" i="1" s="1"/>
  <c r="AY65" i="1" a="1"/>
  <c r="AY65" i="1" s="1"/>
  <c r="AZ65" i="1" a="1"/>
  <c r="AZ65" i="1" s="1"/>
  <c r="BA65" i="1" a="1"/>
  <c r="BA65" i="1" s="1"/>
  <c r="BB65" i="1" a="1"/>
  <c r="BB65" i="1" s="1"/>
  <c r="BC65" i="1" a="1"/>
  <c r="BC65" i="1" s="1"/>
  <c r="BD65" i="1" a="1"/>
  <c r="BD65" i="1" s="1"/>
  <c r="BE65" i="1" a="1"/>
  <c r="BE65" i="1" s="1"/>
  <c r="BF65" i="1" a="1"/>
  <c r="BF65" i="1" s="1"/>
  <c r="BG65" i="1" a="1"/>
  <c r="BG65" i="1" s="1"/>
  <c r="AC66" i="1" a="1"/>
  <c r="AC66" i="1" s="1"/>
  <c r="AE66" i="1" a="1"/>
  <c r="AE66" i="1" s="1"/>
  <c r="AG66" i="1" a="1"/>
  <c r="AG66" i="1" s="1"/>
  <c r="AH66" i="1" a="1"/>
  <c r="AH66" i="1" s="1"/>
  <c r="AI66" i="1" a="1"/>
  <c r="AI66" i="1" s="1"/>
  <c r="AK66" i="1" a="1"/>
  <c r="AK66" i="1" s="1"/>
  <c r="AL66" i="1" a="1"/>
  <c r="AL66" i="1" s="1"/>
  <c r="AM66" i="1" a="1"/>
  <c r="AM66" i="1" s="1"/>
  <c r="AN66" i="1" a="1"/>
  <c r="AN66" i="1" s="1"/>
  <c r="AO66" i="1" a="1"/>
  <c r="AO66" i="1" s="1"/>
  <c r="AP66" i="1" a="1"/>
  <c r="AP66" i="1" s="1"/>
  <c r="AQ66" i="1" a="1"/>
  <c r="AQ66" i="1" s="1"/>
  <c r="AR66" i="1" a="1"/>
  <c r="AR66" i="1" s="1"/>
  <c r="AS66" i="1" a="1"/>
  <c r="AS66" i="1" s="1"/>
  <c r="AT66" i="1" a="1"/>
  <c r="AT66" i="1" s="1"/>
  <c r="AU66" i="1" a="1"/>
  <c r="AU66" i="1" s="1"/>
  <c r="AV66" i="1" a="1"/>
  <c r="AV66" i="1" s="1"/>
  <c r="AW66" i="1" a="1"/>
  <c r="AW66" i="1" s="1"/>
  <c r="AX66" i="1" a="1"/>
  <c r="AX66" i="1" s="1"/>
  <c r="AY66" i="1" a="1"/>
  <c r="AY66" i="1" s="1"/>
  <c r="AZ66" i="1" a="1"/>
  <c r="AZ66" i="1" s="1"/>
  <c r="BA66" i="1" a="1"/>
  <c r="BA66" i="1" s="1"/>
  <c r="BB66" i="1" a="1"/>
  <c r="BB66" i="1" s="1"/>
  <c r="BC66" i="1" a="1"/>
  <c r="BC66" i="1" s="1"/>
  <c r="BD66" i="1" a="1"/>
  <c r="BD66" i="1" s="1"/>
  <c r="BE66" i="1" a="1"/>
  <c r="BE66" i="1" s="1"/>
  <c r="BF66" i="1" a="1"/>
  <c r="BF66" i="1" s="1"/>
  <c r="BG66" i="1" a="1"/>
  <c r="BG66" i="1" s="1"/>
  <c r="AC67" i="1" a="1"/>
  <c r="AC67" i="1" s="1"/>
  <c r="AK67" i="1" a="1"/>
  <c r="AK67" i="1" s="1"/>
  <c r="AL67" i="1" a="1"/>
  <c r="AL67" i="1" s="1"/>
  <c r="AM67" i="1" a="1"/>
  <c r="AM67" i="1" s="1"/>
  <c r="AN67" i="1" a="1"/>
  <c r="AN67" i="1" s="1"/>
  <c r="AO67" i="1" a="1"/>
  <c r="AO67" i="1" s="1"/>
  <c r="AP67" i="1" a="1"/>
  <c r="AP67" i="1" s="1"/>
  <c r="AQ67" i="1" a="1"/>
  <c r="AQ67" i="1" s="1"/>
  <c r="AR67" i="1" a="1"/>
  <c r="AR67" i="1" s="1"/>
  <c r="AS67" i="1" a="1"/>
  <c r="AS67" i="1" s="1"/>
  <c r="AT67" i="1" a="1"/>
  <c r="AT67" i="1" s="1"/>
  <c r="AU67" i="1" a="1"/>
  <c r="AU67" i="1" s="1"/>
  <c r="AV67" i="1" a="1"/>
  <c r="AV67" i="1" s="1"/>
  <c r="AW67" i="1" a="1"/>
  <c r="AW67" i="1" s="1"/>
  <c r="AX67" i="1" a="1"/>
  <c r="AX67" i="1" s="1"/>
  <c r="AY67" i="1" a="1"/>
  <c r="AY67" i="1" s="1"/>
  <c r="AZ67" i="1" a="1"/>
  <c r="AZ67" i="1" s="1"/>
  <c r="BA67" i="1" a="1"/>
  <c r="BA67" i="1" s="1"/>
  <c r="BB67" i="1" a="1"/>
  <c r="BB67" i="1" s="1"/>
  <c r="BC67" i="1" a="1"/>
  <c r="BC67" i="1" s="1"/>
  <c r="BD67" i="1" a="1"/>
  <c r="BD67" i="1" s="1"/>
  <c r="BE67" i="1" a="1"/>
  <c r="BE67" i="1" s="1"/>
  <c r="BF67" i="1" a="1"/>
  <c r="BF67" i="1" s="1"/>
  <c r="BG67" i="1" a="1"/>
  <c r="BG67" i="1" s="1"/>
  <c r="AC68" i="1" a="1"/>
  <c r="AC68" i="1" s="1"/>
  <c r="AG68" i="1" a="1"/>
  <c r="AG68" i="1" s="1"/>
  <c r="AH68" i="1" a="1"/>
  <c r="AH68" i="1" s="1"/>
  <c r="AI68" i="1" a="1"/>
  <c r="AI68" i="1" s="1"/>
  <c r="AK68" i="1" a="1"/>
  <c r="AK68" i="1" s="1"/>
  <c r="AL68" i="1" a="1"/>
  <c r="AL68" i="1" s="1"/>
  <c r="AM68" i="1" a="1"/>
  <c r="AM68" i="1" s="1"/>
  <c r="AN68" i="1" a="1"/>
  <c r="AN68" i="1" s="1"/>
  <c r="AO68" i="1" a="1"/>
  <c r="AO68" i="1" s="1"/>
  <c r="AP68" i="1" a="1"/>
  <c r="AP68" i="1" s="1"/>
  <c r="AQ68" i="1" a="1"/>
  <c r="AQ68" i="1" s="1"/>
  <c r="AR68" i="1" a="1"/>
  <c r="AR68" i="1" s="1"/>
  <c r="AS68" i="1" a="1"/>
  <c r="AS68" i="1" s="1"/>
  <c r="AT68" i="1" a="1"/>
  <c r="AT68" i="1" s="1"/>
  <c r="AU68" i="1" a="1"/>
  <c r="AU68" i="1" s="1"/>
  <c r="AV68" i="1" a="1"/>
  <c r="AV68" i="1" s="1"/>
  <c r="AW68" i="1" a="1"/>
  <c r="AW68" i="1" s="1"/>
  <c r="AX68" i="1" a="1"/>
  <c r="AX68" i="1" s="1"/>
  <c r="AY68" i="1" a="1"/>
  <c r="AY68" i="1" s="1"/>
  <c r="AZ68" i="1" a="1"/>
  <c r="AZ68" i="1" s="1"/>
  <c r="BA68" i="1" a="1"/>
  <c r="BA68" i="1" s="1"/>
  <c r="BB68" i="1" a="1"/>
  <c r="BB68" i="1" s="1"/>
  <c r="BC68" i="1" a="1"/>
  <c r="BC68" i="1" s="1"/>
  <c r="BD68" i="1" a="1"/>
  <c r="BD68" i="1" s="1"/>
  <c r="BE68" i="1" a="1"/>
  <c r="BE68" i="1" s="1"/>
  <c r="BF68" i="1" a="1"/>
  <c r="BF68" i="1" s="1"/>
  <c r="BG68" i="1" a="1"/>
  <c r="BG68" i="1" s="1"/>
  <c r="AC69" i="1" a="1"/>
  <c r="AC69" i="1" s="1"/>
  <c r="AD69" i="1" a="1"/>
  <c r="AD69" i="1" s="1"/>
  <c r="AE69" i="1" a="1"/>
  <c r="AE69" i="1" s="1"/>
  <c r="AF69" i="1" a="1"/>
  <c r="AF69" i="1" s="1"/>
  <c r="AG69" i="1" a="1"/>
  <c r="AG69" i="1" s="1"/>
  <c r="AH69" i="1" a="1"/>
  <c r="AH69" i="1" s="1"/>
  <c r="AI69" i="1" a="1"/>
  <c r="AI69" i="1" s="1"/>
  <c r="AJ69" i="1" a="1"/>
  <c r="AJ69" i="1" s="1"/>
  <c r="AK69" i="1" a="1"/>
  <c r="AK69" i="1" s="1"/>
  <c r="AL69" i="1" a="1"/>
  <c r="AL69" i="1" s="1"/>
  <c r="AM69" i="1" a="1"/>
  <c r="AM69" i="1" s="1"/>
  <c r="AN69" i="1" a="1"/>
  <c r="AN69" i="1" s="1"/>
  <c r="AO69" i="1" a="1"/>
  <c r="AO69" i="1" s="1"/>
  <c r="AP69" i="1" a="1"/>
  <c r="AP69" i="1" s="1"/>
  <c r="AQ69" i="1" a="1"/>
  <c r="AQ69" i="1" s="1"/>
  <c r="AR69" i="1" a="1"/>
  <c r="AR69" i="1" s="1"/>
  <c r="AS69" i="1" a="1"/>
  <c r="AS69" i="1" s="1"/>
  <c r="AT69" i="1" a="1"/>
  <c r="AT69" i="1" s="1"/>
  <c r="AU69" i="1" a="1"/>
  <c r="AU69" i="1" s="1"/>
  <c r="AV69" i="1" a="1"/>
  <c r="AV69" i="1" s="1"/>
  <c r="AW69" i="1" a="1"/>
  <c r="AW69" i="1" s="1"/>
  <c r="AX69" i="1" a="1"/>
  <c r="AX69" i="1" s="1"/>
  <c r="AY69" i="1" a="1"/>
  <c r="AY69" i="1" s="1"/>
  <c r="AZ69" i="1" a="1"/>
  <c r="AZ69" i="1" s="1"/>
  <c r="BA69" i="1" a="1"/>
  <c r="BA69" i="1" s="1"/>
  <c r="BB69" i="1" a="1"/>
  <c r="BB69" i="1" s="1"/>
  <c r="BC69" i="1" a="1"/>
  <c r="BC69" i="1" s="1"/>
  <c r="BD69" i="1" a="1"/>
  <c r="BD69" i="1" s="1"/>
  <c r="BE69" i="1" a="1"/>
  <c r="BE69" i="1" s="1"/>
  <c r="BF69" i="1" a="1"/>
  <c r="BF69" i="1" s="1"/>
  <c r="BG69" i="1" a="1"/>
  <c r="BG69" i="1" s="1"/>
  <c r="AC70" i="1" a="1"/>
  <c r="AC70" i="1" s="1"/>
  <c r="AD70" i="1" a="1"/>
  <c r="AD70" i="1" s="1"/>
  <c r="AE70" i="1" a="1"/>
  <c r="AE70" i="1" s="1"/>
  <c r="AF70" i="1" a="1"/>
  <c r="AF70" i="1" s="1"/>
  <c r="AG70" i="1" a="1"/>
  <c r="AG70" i="1" s="1"/>
  <c r="AH70" i="1" a="1"/>
  <c r="AH70" i="1" s="1"/>
  <c r="AI70" i="1" a="1"/>
  <c r="AI70" i="1" s="1"/>
  <c r="AJ70" i="1" a="1"/>
  <c r="AJ70" i="1" s="1"/>
  <c r="AK70" i="1" a="1"/>
  <c r="AK70" i="1" s="1"/>
  <c r="AL70" i="1" a="1"/>
  <c r="AL70" i="1" s="1"/>
  <c r="AM70" i="1" a="1"/>
  <c r="AM70" i="1" s="1"/>
  <c r="AN70" i="1" a="1"/>
  <c r="AN70" i="1" s="1"/>
  <c r="AO70" i="1" a="1"/>
  <c r="AO70" i="1" s="1"/>
  <c r="AP70" i="1" a="1"/>
  <c r="AP70" i="1" s="1"/>
  <c r="AQ70" i="1" a="1"/>
  <c r="AQ70" i="1" s="1"/>
  <c r="AR70" i="1" a="1"/>
  <c r="AR70" i="1" s="1"/>
  <c r="AS70" i="1" a="1"/>
  <c r="AS70" i="1" s="1"/>
  <c r="AT70" i="1" a="1"/>
  <c r="AT70" i="1" s="1"/>
  <c r="AU70" i="1" a="1"/>
  <c r="AU70" i="1" s="1"/>
  <c r="AV70" i="1" a="1"/>
  <c r="AV70" i="1" s="1"/>
  <c r="AW70" i="1" a="1"/>
  <c r="AW70" i="1" s="1"/>
  <c r="AX70" i="1" a="1"/>
  <c r="AX70" i="1" s="1"/>
  <c r="AY70" i="1" a="1"/>
  <c r="AY70" i="1" s="1"/>
  <c r="AZ70" i="1" a="1"/>
  <c r="AZ70" i="1" s="1"/>
  <c r="BA70" i="1" a="1"/>
  <c r="BA70" i="1" s="1"/>
  <c r="BB70" i="1" a="1"/>
  <c r="BB70" i="1" s="1"/>
  <c r="BC70" i="1" a="1"/>
  <c r="BC70" i="1" s="1"/>
  <c r="BD70" i="1" a="1"/>
  <c r="BD70" i="1" s="1"/>
  <c r="BE70" i="1" a="1"/>
  <c r="BE70" i="1" s="1"/>
  <c r="BF70" i="1" a="1"/>
  <c r="BF70" i="1" s="1"/>
  <c r="BG70" i="1" a="1"/>
  <c r="BG70" i="1" s="1"/>
  <c r="AC71" i="1" a="1"/>
  <c r="AC71" i="1" s="1"/>
  <c r="AD71" i="1" a="1"/>
  <c r="AD71" i="1" s="1"/>
  <c r="AH71" i="1" a="1"/>
  <c r="AH71" i="1" s="1"/>
  <c r="AI71" i="1" a="1"/>
  <c r="AI71" i="1" s="1"/>
  <c r="AJ71" i="1" a="1"/>
  <c r="AJ71" i="1" s="1"/>
  <c r="AK71" i="1" a="1"/>
  <c r="AK71" i="1" s="1"/>
  <c r="AL71" i="1" a="1"/>
  <c r="AL71" i="1" s="1"/>
  <c r="AM71" i="1" a="1"/>
  <c r="AM71" i="1" s="1"/>
  <c r="AN71" i="1" a="1"/>
  <c r="AN71" i="1" s="1"/>
  <c r="AO71" i="1" a="1"/>
  <c r="AO71" i="1" s="1"/>
  <c r="AP71" i="1" a="1"/>
  <c r="AP71" i="1" s="1"/>
  <c r="AQ71" i="1" a="1"/>
  <c r="AQ71" i="1" s="1"/>
  <c r="AR71" i="1" a="1"/>
  <c r="AR71" i="1" s="1"/>
  <c r="AS71" i="1" a="1"/>
  <c r="AS71" i="1" s="1"/>
  <c r="AT71" i="1" a="1"/>
  <c r="AT71" i="1" s="1"/>
  <c r="AU71" i="1" a="1"/>
  <c r="AU71" i="1" s="1"/>
  <c r="AV71" i="1" a="1"/>
  <c r="AV71" i="1" s="1"/>
  <c r="AW71" i="1" a="1"/>
  <c r="AW71" i="1" s="1"/>
  <c r="AX71" i="1" a="1"/>
  <c r="AX71" i="1" s="1"/>
  <c r="AY71" i="1" a="1"/>
  <c r="AY71" i="1" s="1"/>
  <c r="AZ71" i="1" a="1"/>
  <c r="AZ71" i="1" s="1"/>
  <c r="BA71" i="1" a="1"/>
  <c r="BA71" i="1" s="1"/>
  <c r="BB71" i="1" a="1"/>
  <c r="BB71" i="1" s="1"/>
  <c r="BC71" i="1" a="1"/>
  <c r="BC71" i="1" s="1"/>
  <c r="BD71" i="1" a="1"/>
  <c r="BD71" i="1" s="1"/>
  <c r="BE71" i="1" a="1"/>
  <c r="BE71" i="1" s="1"/>
  <c r="BF71" i="1" a="1"/>
  <c r="BF71" i="1" s="1"/>
  <c r="BG71" i="1" a="1"/>
  <c r="BG71" i="1" s="1"/>
  <c r="AC72" i="1" a="1"/>
  <c r="AC72" i="1" s="1"/>
  <c r="AD72" i="1" a="1"/>
  <c r="AD72" i="1" s="1"/>
  <c r="AE72" i="1" a="1"/>
  <c r="AE72" i="1" s="1"/>
  <c r="AG72" i="1" a="1"/>
  <c r="AG72" i="1" s="1"/>
  <c r="AI72" i="1" a="1"/>
  <c r="AI72" i="1" s="1"/>
  <c r="AJ72" i="1" a="1"/>
  <c r="AJ72" i="1" s="1"/>
  <c r="AK72" i="1" a="1"/>
  <c r="AK72" i="1" s="1"/>
  <c r="AL72" i="1" a="1"/>
  <c r="AL72" i="1" s="1"/>
  <c r="AM72" i="1" a="1"/>
  <c r="AM72" i="1" s="1"/>
  <c r="AN72" i="1" a="1"/>
  <c r="AN72" i="1" s="1"/>
  <c r="AO72" i="1" a="1"/>
  <c r="AO72" i="1" s="1"/>
  <c r="AP72" i="1" a="1"/>
  <c r="AP72" i="1" s="1"/>
  <c r="AQ72" i="1" a="1"/>
  <c r="AQ72" i="1" s="1"/>
  <c r="AR72" i="1" a="1"/>
  <c r="AR72" i="1" s="1"/>
  <c r="AS72" i="1" a="1"/>
  <c r="AS72" i="1" s="1"/>
  <c r="AT72" i="1" a="1"/>
  <c r="AT72" i="1" s="1"/>
  <c r="AU72" i="1" a="1"/>
  <c r="AU72" i="1" s="1"/>
  <c r="AV72" i="1" a="1"/>
  <c r="AV72" i="1" s="1"/>
  <c r="AW72" i="1" a="1"/>
  <c r="AW72" i="1" s="1"/>
  <c r="AX72" i="1" a="1"/>
  <c r="AX72" i="1" s="1"/>
  <c r="AY72" i="1" a="1"/>
  <c r="AY72" i="1" s="1"/>
  <c r="AZ72" i="1" a="1"/>
  <c r="AZ72" i="1" s="1"/>
  <c r="BA72" i="1" a="1"/>
  <c r="BA72" i="1" s="1"/>
  <c r="BB72" i="1" a="1"/>
  <c r="BB72" i="1" s="1"/>
  <c r="BC72" i="1" a="1"/>
  <c r="BC72" i="1" s="1"/>
  <c r="BD72" i="1" a="1"/>
  <c r="BD72" i="1" s="1"/>
  <c r="BE72" i="1" a="1"/>
  <c r="BE72" i="1" s="1"/>
  <c r="BF72" i="1" a="1"/>
  <c r="BF72" i="1" s="1"/>
  <c r="BG72" i="1" a="1"/>
  <c r="BG72" i="1" s="1"/>
  <c r="AC74" i="1" a="1"/>
  <c r="AC74" i="1" s="1"/>
  <c r="AD74" i="1" a="1"/>
  <c r="AD74" i="1" s="1"/>
  <c r="AE74" i="1" a="1"/>
  <c r="AE74" i="1" s="1"/>
  <c r="AF74" i="1" a="1"/>
  <c r="AF74" i="1" s="1"/>
  <c r="AG74" i="1" a="1"/>
  <c r="AG74" i="1" s="1"/>
  <c r="AH74" i="1" a="1"/>
  <c r="AH74" i="1" s="1"/>
  <c r="AI74" i="1" a="1"/>
  <c r="AI74" i="1" s="1"/>
  <c r="AJ74" i="1" a="1"/>
  <c r="AJ74" i="1" s="1"/>
  <c r="AK74" i="1" a="1"/>
  <c r="AK74" i="1" s="1"/>
  <c r="AL74" i="1" a="1"/>
  <c r="AL74" i="1" s="1"/>
  <c r="AM74" i="1" a="1"/>
  <c r="AM74" i="1" s="1"/>
  <c r="AN74" i="1" a="1"/>
  <c r="AN74" i="1" s="1"/>
  <c r="AO74" i="1" a="1"/>
  <c r="AO74" i="1" s="1"/>
  <c r="AP74" i="1" a="1"/>
  <c r="AP74" i="1" s="1"/>
  <c r="AQ74" i="1" a="1"/>
  <c r="AQ74" i="1" s="1"/>
  <c r="AR74" i="1" a="1"/>
  <c r="AR74" i="1" s="1"/>
  <c r="AS74" i="1" a="1"/>
  <c r="AS74" i="1" s="1"/>
  <c r="AT74" i="1" a="1"/>
  <c r="AT74" i="1" s="1"/>
  <c r="AU74" i="1" a="1"/>
  <c r="AU74" i="1" s="1"/>
  <c r="AV74" i="1" a="1"/>
  <c r="AV74" i="1" s="1"/>
  <c r="AW74" i="1" a="1"/>
  <c r="AW74" i="1" s="1"/>
  <c r="AX74" i="1" a="1"/>
  <c r="AX74" i="1" s="1"/>
  <c r="AY74" i="1" a="1"/>
  <c r="AY74" i="1" s="1"/>
  <c r="AZ74" i="1" a="1"/>
  <c r="AZ74" i="1" s="1"/>
  <c r="BA74" i="1" a="1"/>
  <c r="BA74" i="1" s="1"/>
  <c r="BB74" i="1" a="1"/>
  <c r="BB74" i="1" s="1"/>
  <c r="BC74" i="1" a="1"/>
  <c r="BC74" i="1" s="1"/>
  <c r="BD74" i="1" a="1"/>
  <c r="BD74" i="1" s="1"/>
  <c r="BE74" i="1" a="1"/>
  <c r="BE74" i="1" s="1"/>
  <c r="BF74" i="1" a="1"/>
  <c r="BF74" i="1" s="1"/>
  <c r="BG74" i="1" a="1"/>
  <c r="BG74" i="1" s="1"/>
  <c r="AC75" i="1" a="1"/>
  <c r="AC75" i="1" s="1"/>
  <c r="AD75" i="1" a="1"/>
  <c r="AD75" i="1" s="1"/>
  <c r="AE75" i="1" a="1"/>
  <c r="AE75" i="1" s="1"/>
  <c r="AF75" i="1" a="1"/>
  <c r="AF75" i="1" s="1"/>
  <c r="AG75" i="1" a="1"/>
  <c r="AG75" i="1" s="1"/>
  <c r="AH75" i="1" a="1"/>
  <c r="AH75" i="1" s="1"/>
  <c r="AJ75" i="1" a="1"/>
  <c r="AJ75" i="1" s="1"/>
  <c r="AK75" i="1" a="1"/>
  <c r="AK75" i="1" s="1"/>
  <c r="AL75" i="1" a="1"/>
  <c r="AL75" i="1" s="1"/>
  <c r="AM75" i="1" a="1"/>
  <c r="AM75" i="1" s="1"/>
  <c r="AN75" i="1" a="1"/>
  <c r="AN75" i="1" s="1"/>
  <c r="AO75" i="1" a="1"/>
  <c r="AO75" i="1" s="1"/>
  <c r="AP75" i="1" a="1"/>
  <c r="AP75" i="1" s="1"/>
  <c r="AQ75" i="1" a="1"/>
  <c r="AQ75" i="1" s="1"/>
  <c r="AR75" i="1" a="1"/>
  <c r="AR75" i="1" s="1"/>
  <c r="AS75" i="1" a="1"/>
  <c r="AS75" i="1" s="1"/>
  <c r="AT75" i="1" a="1"/>
  <c r="AT75" i="1" s="1"/>
  <c r="AU75" i="1" a="1"/>
  <c r="AU75" i="1" s="1"/>
  <c r="AV75" i="1" a="1"/>
  <c r="AV75" i="1" s="1"/>
  <c r="AW75" i="1" a="1"/>
  <c r="AW75" i="1" s="1"/>
  <c r="AX75" i="1" a="1"/>
  <c r="AX75" i="1" s="1"/>
  <c r="AY75" i="1" a="1"/>
  <c r="AY75" i="1" s="1"/>
  <c r="AZ75" i="1" a="1"/>
  <c r="AZ75" i="1" s="1"/>
  <c r="BA75" i="1" a="1"/>
  <c r="BA75" i="1" s="1"/>
  <c r="BB75" i="1" a="1"/>
  <c r="BB75" i="1" s="1"/>
  <c r="BC75" i="1" a="1"/>
  <c r="BC75" i="1" s="1"/>
  <c r="BD75" i="1" a="1"/>
  <c r="BD75" i="1" s="1"/>
  <c r="BE75" i="1" a="1"/>
  <c r="BE75" i="1" s="1"/>
  <c r="BF75" i="1" a="1"/>
  <c r="BF75" i="1" s="1"/>
  <c r="BG75" i="1" a="1"/>
  <c r="BG75" i="1" s="1"/>
  <c r="AC76" i="1" a="1"/>
  <c r="AC76" i="1" s="1"/>
  <c r="AD76" i="1" a="1"/>
  <c r="AD76" i="1" s="1"/>
  <c r="AH76" i="1" a="1"/>
  <c r="AH76" i="1" s="1"/>
  <c r="AJ76" i="1" a="1"/>
  <c r="AJ76" i="1" s="1"/>
  <c r="AK76" i="1" a="1"/>
  <c r="AK76" i="1" s="1"/>
  <c r="AL76" i="1" a="1"/>
  <c r="AL76" i="1" s="1"/>
  <c r="AM76" i="1" a="1"/>
  <c r="AM76" i="1" s="1"/>
  <c r="AN76" i="1" a="1"/>
  <c r="AN76" i="1" s="1"/>
  <c r="AO76" i="1" a="1"/>
  <c r="AO76" i="1" s="1"/>
  <c r="AP76" i="1" a="1"/>
  <c r="AP76" i="1" s="1"/>
  <c r="AQ76" i="1" a="1"/>
  <c r="AQ76" i="1" s="1"/>
  <c r="AR76" i="1" a="1"/>
  <c r="AR76" i="1" s="1"/>
  <c r="AS76" i="1" a="1"/>
  <c r="AS76" i="1" s="1"/>
  <c r="AT76" i="1" a="1"/>
  <c r="AT76" i="1" s="1"/>
  <c r="AU76" i="1" a="1"/>
  <c r="AU76" i="1" s="1"/>
  <c r="AV76" i="1" a="1"/>
  <c r="AV76" i="1" s="1"/>
  <c r="AW76" i="1" a="1"/>
  <c r="AW76" i="1" s="1"/>
  <c r="AX76" i="1" a="1"/>
  <c r="AX76" i="1" s="1"/>
  <c r="AY76" i="1" a="1"/>
  <c r="AY76" i="1" s="1"/>
  <c r="AZ76" i="1" a="1"/>
  <c r="AZ76" i="1" s="1"/>
  <c r="BA76" i="1" a="1"/>
  <c r="BA76" i="1" s="1"/>
  <c r="BB76" i="1" a="1"/>
  <c r="BB76" i="1" s="1"/>
  <c r="BC76" i="1" a="1"/>
  <c r="BC76" i="1" s="1"/>
  <c r="BD76" i="1" a="1"/>
  <c r="BD76" i="1" s="1"/>
  <c r="BE76" i="1" a="1"/>
  <c r="BE76" i="1" s="1"/>
  <c r="BF76" i="1" a="1"/>
  <c r="BF76" i="1" s="1"/>
  <c r="BG76" i="1" a="1"/>
  <c r="BG76" i="1" s="1"/>
  <c r="AF78" i="1" a="1"/>
  <c r="AF78" i="1" s="1"/>
  <c r="AH78" i="1" a="1"/>
  <c r="AH78" i="1" s="1"/>
  <c r="AI78" i="1" a="1"/>
  <c r="AI78" i="1" s="1"/>
  <c r="AJ78" i="1" a="1"/>
  <c r="AJ78" i="1" s="1"/>
  <c r="AK78" i="1" a="1"/>
  <c r="AK78" i="1" s="1"/>
  <c r="AL78" i="1" a="1"/>
  <c r="AL78" i="1" s="1"/>
  <c r="AM78" i="1" a="1"/>
  <c r="AM78" i="1" s="1"/>
  <c r="AN78" i="1" a="1"/>
  <c r="AN78" i="1" s="1"/>
  <c r="AO78" i="1" a="1"/>
  <c r="AO78" i="1" s="1"/>
  <c r="AP78" i="1" a="1"/>
  <c r="AP78" i="1" s="1"/>
  <c r="AQ78" i="1" a="1"/>
  <c r="AQ78" i="1" s="1"/>
  <c r="AR78" i="1" a="1"/>
  <c r="AR78" i="1" s="1"/>
  <c r="AS78" i="1" a="1"/>
  <c r="AS78" i="1" s="1"/>
  <c r="AT78" i="1" a="1"/>
  <c r="AT78" i="1" s="1"/>
  <c r="AU78" i="1" a="1"/>
  <c r="AU78" i="1" s="1"/>
  <c r="AV78" i="1" a="1"/>
  <c r="AV78" i="1" s="1"/>
  <c r="AW78" i="1" a="1"/>
  <c r="AW78" i="1" s="1"/>
  <c r="AX78" i="1" a="1"/>
  <c r="AX78" i="1" s="1"/>
  <c r="AY78" i="1" a="1"/>
  <c r="AY78" i="1" s="1"/>
  <c r="AZ78" i="1" a="1"/>
  <c r="AZ78" i="1" s="1"/>
  <c r="BA78" i="1" a="1"/>
  <c r="BA78" i="1" s="1"/>
  <c r="BB78" i="1" a="1"/>
  <c r="BB78" i="1" s="1"/>
  <c r="BC78" i="1" a="1"/>
  <c r="BC78" i="1" s="1"/>
  <c r="BD78" i="1" a="1"/>
  <c r="BD78" i="1" s="1"/>
  <c r="BE78" i="1" a="1"/>
  <c r="BE78" i="1" s="1"/>
  <c r="BF78" i="1" a="1"/>
  <c r="BF78" i="1" s="1"/>
  <c r="BG78" i="1" a="1"/>
  <c r="BG78" i="1" s="1"/>
  <c r="AC79" i="1" a="1"/>
  <c r="AC79" i="1" s="1"/>
  <c r="AD79" i="1" a="1"/>
  <c r="AD79" i="1" s="1"/>
  <c r="AG79" i="1" a="1"/>
  <c r="AG79" i="1" s="1"/>
  <c r="AI79" i="1" a="1"/>
  <c r="AI79" i="1" s="1"/>
  <c r="AJ79" i="1" a="1"/>
  <c r="AJ79" i="1" s="1"/>
  <c r="AK79" i="1" a="1"/>
  <c r="AK79" i="1" s="1"/>
  <c r="AL79" i="1" a="1"/>
  <c r="AL79" i="1" s="1"/>
  <c r="AM79" i="1" a="1"/>
  <c r="AM79" i="1" s="1"/>
  <c r="AN79" i="1" a="1"/>
  <c r="AN79" i="1" s="1"/>
  <c r="AO79" i="1" a="1"/>
  <c r="AO79" i="1" s="1"/>
  <c r="AP79" i="1" a="1"/>
  <c r="AP79" i="1" s="1"/>
  <c r="AQ79" i="1" a="1"/>
  <c r="AQ79" i="1" s="1"/>
  <c r="AR79" i="1" a="1"/>
  <c r="AR79" i="1" s="1"/>
  <c r="AS79" i="1" a="1"/>
  <c r="AS79" i="1" s="1"/>
  <c r="AT79" i="1" a="1"/>
  <c r="AT79" i="1" s="1"/>
  <c r="AU79" i="1" a="1"/>
  <c r="AU79" i="1" s="1"/>
  <c r="AV79" i="1" a="1"/>
  <c r="AV79" i="1" s="1"/>
  <c r="AW79" i="1" a="1"/>
  <c r="AW79" i="1" s="1"/>
  <c r="AX79" i="1" a="1"/>
  <c r="AX79" i="1" s="1"/>
  <c r="AY79" i="1" a="1"/>
  <c r="AY79" i="1" s="1"/>
  <c r="AZ79" i="1" a="1"/>
  <c r="AZ79" i="1" s="1"/>
  <c r="BA79" i="1" a="1"/>
  <c r="BA79" i="1" s="1"/>
  <c r="BB79" i="1" a="1"/>
  <c r="BB79" i="1" s="1"/>
  <c r="BC79" i="1" a="1"/>
  <c r="BC79" i="1" s="1"/>
  <c r="BD79" i="1" a="1"/>
  <c r="BD79" i="1" s="1"/>
  <c r="BE79" i="1" a="1"/>
  <c r="BE79" i="1" s="1"/>
  <c r="BF79" i="1" a="1"/>
  <c r="BF79" i="1" s="1"/>
  <c r="BG79" i="1" a="1"/>
  <c r="BG79" i="1" s="1"/>
  <c r="AC80" i="1" a="1"/>
  <c r="AC80" i="1" s="1"/>
  <c r="AD80" i="1" a="1"/>
  <c r="AD80" i="1" s="1"/>
  <c r="AE80" i="1" a="1"/>
  <c r="AE80" i="1" s="1"/>
  <c r="AF80" i="1" a="1"/>
  <c r="AF80" i="1" s="1"/>
  <c r="AG80" i="1" a="1"/>
  <c r="AG80" i="1" s="1"/>
  <c r="AI80" i="1" a="1"/>
  <c r="AI80" i="1" s="1"/>
  <c r="AJ80" i="1" a="1"/>
  <c r="AJ80" i="1" s="1"/>
  <c r="AK80" i="1" a="1"/>
  <c r="AK80" i="1" s="1"/>
  <c r="AL80" i="1" a="1"/>
  <c r="AL80" i="1" s="1"/>
  <c r="AM80" i="1" a="1"/>
  <c r="AM80" i="1" s="1"/>
  <c r="AN80" i="1" a="1"/>
  <c r="AN80" i="1" s="1"/>
  <c r="AO80" i="1" a="1"/>
  <c r="AO80" i="1" s="1"/>
  <c r="AP80" i="1" a="1"/>
  <c r="AP80" i="1" s="1"/>
  <c r="AQ80" i="1" a="1"/>
  <c r="AQ80" i="1" s="1"/>
  <c r="AR80" i="1" a="1"/>
  <c r="AR80" i="1" s="1"/>
  <c r="AS80" i="1" a="1"/>
  <c r="AS80" i="1" s="1"/>
  <c r="AT80" i="1" a="1"/>
  <c r="AT80" i="1" s="1"/>
  <c r="AU80" i="1" a="1"/>
  <c r="AU80" i="1" s="1"/>
  <c r="AV80" i="1" a="1"/>
  <c r="AV80" i="1" s="1"/>
  <c r="AW80" i="1" a="1"/>
  <c r="AW80" i="1" s="1"/>
  <c r="AX80" i="1" a="1"/>
  <c r="AX80" i="1" s="1"/>
  <c r="AY80" i="1" a="1"/>
  <c r="AY80" i="1" s="1"/>
  <c r="AZ80" i="1" a="1"/>
  <c r="AZ80" i="1" s="1"/>
  <c r="BA80" i="1" a="1"/>
  <c r="BA80" i="1" s="1"/>
  <c r="BB80" i="1" a="1"/>
  <c r="BB80" i="1" s="1"/>
  <c r="BC80" i="1" a="1"/>
  <c r="BC80" i="1" s="1"/>
  <c r="BD80" i="1" a="1"/>
  <c r="BD80" i="1" s="1"/>
  <c r="BE80" i="1" a="1"/>
  <c r="BE80" i="1" s="1"/>
  <c r="BF80" i="1" a="1"/>
  <c r="BF80" i="1" s="1"/>
  <c r="BG80" i="1" a="1"/>
  <c r="BG80" i="1" s="1"/>
  <c r="AC84" i="1" a="1"/>
  <c r="AC84" i="1" s="1"/>
  <c r="AD84" i="1" a="1"/>
  <c r="AD84" i="1" s="1"/>
  <c r="AE84" i="1" a="1"/>
  <c r="AE84" i="1" s="1"/>
  <c r="AF84" i="1" a="1"/>
  <c r="AF84" i="1" s="1"/>
  <c r="AG84" i="1" a="1"/>
  <c r="AG84" i="1" s="1"/>
  <c r="AH84" i="1" a="1"/>
  <c r="AH84" i="1" s="1"/>
  <c r="AI84" i="1" a="1"/>
  <c r="AI84" i="1" s="1"/>
  <c r="AJ84" i="1" a="1"/>
  <c r="AJ84" i="1" s="1"/>
  <c r="AK84" i="1" a="1"/>
  <c r="AK84" i="1" s="1"/>
  <c r="AL84" i="1" a="1"/>
  <c r="AL84" i="1" s="1"/>
  <c r="AM84" i="1" a="1"/>
  <c r="AM84" i="1" s="1"/>
  <c r="AN84" i="1" a="1"/>
  <c r="AN84" i="1" s="1"/>
  <c r="AO84" i="1" a="1"/>
  <c r="AO84" i="1" s="1"/>
  <c r="AP84" i="1" a="1"/>
  <c r="AP84" i="1" s="1"/>
  <c r="AQ84" i="1" a="1"/>
  <c r="AQ84" i="1" s="1"/>
  <c r="AR84" i="1" a="1"/>
  <c r="AR84" i="1" s="1"/>
  <c r="AS84" i="1" a="1"/>
  <c r="AS84" i="1" s="1"/>
  <c r="AT84" i="1" a="1"/>
  <c r="AT84" i="1" s="1"/>
  <c r="AU84" i="1" a="1"/>
  <c r="AU84" i="1" s="1"/>
  <c r="AV84" i="1" a="1"/>
  <c r="AV84" i="1" s="1"/>
  <c r="AW84" i="1" a="1"/>
  <c r="AW84" i="1" s="1"/>
  <c r="AX84" i="1" a="1"/>
  <c r="AX84" i="1" s="1"/>
  <c r="AY84" i="1" a="1"/>
  <c r="AY84" i="1" s="1"/>
  <c r="AZ84" i="1" a="1"/>
  <c r="AZ84" i="1" s="1"/>
  <c r="BA84" i="1" a="1"/>
  <c r="BA84" i="1" s="1"/>
  <c r="BB84" i="1" a="1"/>
  <c r="BB84" i="1" s="1"/>
  <c r="BC84" i="1" a="1"/>
  <c r="BC84" i="1" s="1"/>
  <c r="BD84" i="1" a="1"/>
  <c r="BD84" i="1" s="1"/>
  <c r="BE84" i="1" a="1"/>
  <c r="BE84" i="1" s="1"/>
  <c r="BF84" i="1" a="1"/>
  <c r="BF84" i="1" s="1"/>
  <c r="BG84" i="1" a="1"/>
  <c r="BG84" i="1" s="1"/>
  <c r="AC85" i="1" a="1"/>
  <c r="AC85" i="1" s="1"/>
  <c r="AD85" i="1" a="1"/>
  <c r="AD85" i="1" s="1"/>
  <c r="AF85" i="1" a="1"/>
  <c r="AF85" i="1" s="1"/>
  <c r="AG85" i="1" a="1"/>
  <c r="AG85" i="1" s="1"/>
  <c r="AH85" i="1" a="1"/>
  <c r="AH85" i="1" s="1"/>
  <c r="AJ85" i="1" a="1"/>
  <c r="AJ85" i="1" s="1"/>
  <c r="AK85" i="1" a="1"/>
  <c r="AK85" i="1" s="1"/>
  <c r="AL85" i="1" a="1"/>
  <c r="AL85" i="1" s="1"/>
  <c r="AM85" i="1" a="1"/>
  <c r="AM85" i="1" s="1"/>
  <c r="AN85" i="1" a="1"/>
  <c r="AN85" i="1" s="1"/>
  <c r="AO85" i="1" a="1"/>
  <c r="AO85" i="1" s="1"/>
  <c r="AP85" i="1" a="1"/>
  <c r="AP85" i="1" s="1"/>
  <c r="AQ85" i="1" a="1"/>
  <c r="AQ85" i="1" s="1"/>
  <c r="AR85" i="1" a="1"/>
  <c r="AR85" i="1" s="1"/>
  <c r="AS85" i="1" a="1"/>
  <c r="AS85" i="1" s="1"/>
  <c r="AT85" i="1" a="1"/>
  <c r="AT85" i="1" s="1"/>
  <c r="AU85" i="1" a="1"/>
  <c r="AU85" i="1" s="1"/>
  <c r="AV85" i="1" a="1"/>
  <c r="AV85" i="1" s="1"/>
  <c r="AW85" i="1" a="1"/>
  <c r="AW85" i="1" s="1"/>
  <c r="AX85" i="1" a="1"/>
  <c r="AX85" i="1" s="1"/>
  <c r="AY85" i="1" a="1"/>
  <c r="AY85" i="1" s="1"/>
  <c r="AZ85" i="1" a="1"/>
  <c r="AZ85" i="1" s="1"/>
  <c r="BA85" i="1" a="1"/>
  <c r="BA85" i="1" s="1"/>
  <c r="BB85" i="1" a="1"/>
  <c r="BB85" i="1" s="1"/>
  <c r="BC85" i="1" a="1"/>
  <c r="BC85" i="1" s="1"/>
  <c r="BD85" i="1" a="1"/>
  <c r="BD85" i="1" s="1"/>
  <c r="BE85" i="1" a="1"/>
  <c r="BE85" i="1" s="1"/>
  <c r="BF85" i="1" a="1"/>
  <c r="BF85" i="1" s="1"/>
  <c r="BG85" i="1" a="1"/>
  <c r="BG85" i="1" s="1"/>
  <c r="AC86" i="1" a="1"/>
  <c r="AC86" i="1" s="1"/>
  <c r="AD86" i="1" a="1"/>
  <c r="AD86" i="1" s="1"/>
  <c r="AE86" i="1" a="1"/>
  <c r="AE86" i="1" s="1"/>
  <c r="AF86" i="1" a="1"/>
  <c r="AF86" i="1" s="1"/>
  <c r="AG86" i="1" a="1"/>
  <c r="AG86" i="1" s="1"/>
  <c r="AH86" i="1" a="1"/>
  <c r="AH86" i="1" s="1"/>
  <c r="AI86" i="1" a="1"/>
  <c r="AI86" i="1" s="1"/>
  <c r="AJ86" i="1" a="1"/>
  <c r="AJ86" i="1" s="1"/>
  <c r="AK86" i="1" a="1"/>
  <c r="AK86" i="1" s="1"/>
  <c r="AL86" i="1" a="1"/>
  <c r="AL86" i="1" s="1"/>
  <c r="AM86" i="1" a="1"/>
  <c r="AM86" i="1" s="1"/>
  <c r="AN86" i="1" a="1"/>
  <c r="AN86" i="1" s="1"/>
  <c r="AO86" i="1" a="1"/>
  <c r="AO86" i="1" s="1"/>
  <c r="AP86" i="1" a="1"/>
  <c r="AP86" i="1" s="1"/>
  <c r="AQ86" i="1" a="1"/>
  <c r="AQ86" i="1" s="1"/>
  <c r="AR86" i="1" a="1"/>
  <c r="AR86" i="1" s="1"/>
  <c r="AS86" i="1" a="1"/>
  <c r="AS86" i="1" s="1"/>
  <c r="AT86" i="1" a="1"/>
  <c r="AT86" i="1" s="1"/>
  <c r="AU86" i="1" a="1"/>
  <c r="AU86" i="1" s="1"/>
  <c r="AV86" i="1" a="1"/>
  <c r="AV86" i="1" s="1"/>
  <c r="AW86" i="1" a="1"/>
  <c r="AW86" i="1" s="1"/>
  <c r="AX86" i="1" a="1"/>
  <c r="AX86" i="1" s="1"/>
  <c r="AY86" i="1" a="1"/>
  <c r="AY86" i="1" s="1"/>
  <c r="AZ86" i="1" a="1"/>
  <c r="AZ86" i="1" s="1"/>
  <c r="BA86" i="1" a="1"/>
  <c r="BA86" i="1" s="1"/>
  <c r="BB86" i="1" a="1"/>
  <c r="BB86" i="1" s="1"/>
  <c r="BC86" i="1" a="1"/>
  <c r="BC86" i="1" s="1"/>
  <c r="BD86" i="1" a="1"/>
  <c r="BD86" i="1" s="1"/>
  <c r="BE86" i="1" a="1"/>
  <c r="BE86" i="1" s="1"/>
  <c r="BF86" i="1" a="1"/>
  <c r="BF86" i="1" s="1"/>
  <c r="BG86" i="1" a="1"/>
  <c r="BG86" i="1" s="1"/>
  <c r="AD87" i="1" a="1"/>
  <c r="AD87" i="1" s="1"/>
  <c r="AF87" i="1" a="1"/>
  <c r="AF87" i="1" s="1"/>
  <c r="AG87" i="1" a="1"/>
  <c r="AG87" i="1" s="1"/>
  <c r="AI87" i="1" a="1"/>
  <c r="AI87" i="1" s="1"/>
  <c r="AJ87" i="1" a="1"/>
  <c r="AJ87" i="1" s="1"/>
  <c r="AK87" i="1" a="1"/>
  <c r="AK87" i="1" s="1"/>
  <c r="AL87" i="1" a="1"/>
  <c r="AL87" i="1" s="1"/>
  <c r="AM87" i="1" a="1"/>
  <c r="AM87" i="1" s="1"/>
  <c r="AN87" i="1" a="1"/>
  <c r="AN87" i="1" s="1"/>
  <c r="AO87" i="1" a="1"/>
  <c r="AO87" i="1" s="1"/>
  <c r="AP87" i="1" a="1"/>
  <c r="AP87" i="1" s="1"/>
  <c r="AQ87" i="1" a="1"/>
  <c r="AQ87" i="1" s="1"/>
  <c r="AR87" i="1" a="1"/>
  <c r="AR87" i="1" s="1"/>
  <c r="AS87" i="1" a="1"/>
  <c r="AS87" i="1" s="1"/>
  <c r="AT87" i="1" a="1"/>
  <c r="AT87" i="1" s="1"/>
  <c r="AU87" i="1" a="1"/>
  <c r="AU87" i="1" s="1"/>
  <c r="AV87" i="1" a="1"/>
  <c r="AV87" i="1" s="1"/>
  <c r="AW87" i="1" a="1"/>
  <c r="AW87" i="1" s="1"/>
  <c r="AX87" i="1" a="1"/>
  <c r="AX87" i="1" s="1"/>
  <c r="AY87" i="1" a="1"/>
  <c r="AY87" i="1" s="1"/>
  <c r="AZ87" i="1" a="1"/>
  <c r="AZ87" i="1" s="1"/>
  <c r="BA87" i="1" a="1"/>
  <c r="BA87" i="1" s="1"/>
  <c r="BB87" i="1" a="1"/>
  <c r="BB87" i="1" s="1"/>
  <c r="BC87" i="1" a="1"/>
  <c r="BC87" i="1" s="1"/>
  <c r="BD87" i="1" a="1"/>
  <c r="BD87" i="1" s="1"/>
  <c r="BE87" i="1" a="1"/>
  <c r="BE87" i="1" s="1"/>
  <c r="BF87" i="1" a="1"/>
  <c r="BF87" i="1" s="1"/>
  <c r="BG87" i="1" a="1"/>
  <c r="BG87" i="1" s="1"/>
  <c r="AC88" i="1" a="1"/>
  <c r="AC88" i="1" s="1"/>
  <c r="AJ88" i="1" a="1"/>
  <c r="AJ88" i="1" s="1"/>
  <c r="AK88" i="1" a="1"/>
  <c r="AK88" i="1" s="1"/>
  <c r="AL88" i="1" a="1"/>
  <c r="AL88" i="1" s="1"/>
  <c r="AM88" i="1" a="1"/>
  <c r="AM88" i="1" s="1"/>
  <c r="AN88" i="1" a="1"/>
  <c r="AN88" i="1" s="1"/>
  <c r="AO88" i="1" a="1"/>
  <c r="AO88" i="1" s="1"/>
  <c r="AP88" i="1" a="1"/>
  <c r="AP88" i="1" s="1"/>
  <c r="AQ88" i="1" a="1"/>
  <c r="AQ88" i="1" s="1"/>
  <c r="AR88" i="1" a="1"/>
  <c r="AR88" i="1" s="1"/>
  <c r="AS88" i="1" a="1"/>
  <c r="AS88" i="1" s="1"/>
  <c r="AT88" i="1" a="1"/>
  <c r="AT88" i="1" s="1"/>
  <c r="AU88" i="1" a="1"/>
  <c r="AU88" i="1" s="1"/>
  <c r="AV88" i="1" a="1"/>
  <c r="AV88" i="1" s="1"/>
  <c r="AW88" i="1" a="1"/>
  <c r="AW88" i="1" s="1"/>
  <c r="AX88" i="1" a="1"/>
  <c r="AX88" i="1" s="1"/>
  <c r="AY88" i="1" a="1"/>
  <c r="AY88" i="1" s="1"/>
  <c r="AZ88" i="1" a="1"/>
  <c r="AZ88" i="1" s="1"/>
  <c r="BA88" i="1" a="1"/>
  <c r="BA88" i="1" s="1"/>
  <c r="BB88" i="1" a="1"/>
  <c r="BB88" i="1" s="1"/>
  <c r="BC88" i="1" a="1"/>
  <c r="BC88" i="1" s="1"/>
  <c r="BD88" i="1" a="1"/>
  <c r="BD88" i="1" s="1"/>
  <c r="BE88" i="1" a="1"/>
  <c r="BE88" i="1" s="1"/>
  <c r="BF88" i="1" a="1"/>
  <c r="BF88" i="1" s="1"/>
  <c r="BG88" i="1" a="1"/>
  <c r="BG88" i="1" s="1"/>
  <c r="AC89" i="1" a="1"/>
  <c r="AC89" i="1" s="1"/>
  <c r="AD89" i="1" a="1"/>
  <c r="AD89" i="1" s="1"/>
  <c r="AE89" i="1" a="1"/>
  <c r="AE89" i="1" s="1"/>
  <c r="AF89" i="1" a="1"/>
  <c r="AF89" i="1" s="1"/>
  <c r="AG89" i="1" a="1"/>
  <c r="AG89" i="1" s="1"/>
  <c r="AH89" i="1" a="1"/>
  <c r="AH89" i="1" s="1"/>
  <c r="AI89" i="1" a="1"/>
  <c r="AI89" i="1" s="1"/>
  <c r="AJ89" i="1" a="1"/>
  <c r="AJ89" i="1" s="1"/>
  <c r="AK89" i="1" a="1"/>
  <c r="AK89" i="1" s="1"/>
  <c r="AL89" i="1" a="1"/>
  <c r="AL89" i="1" s="1"/>
  <c r="AM89" i="1" a="1"/>
  <c r="AM89" i="1" s="1"/>
  <c r="AN89" i="1" a="1"/>
  <c r="AN89" i="1" s="1"/>
  <c r="AO89" i="1" a="1"/>
  <c r="AO89" i="1" s="1"/>
  <c r="AP89" i="1" a="1"/>
  <c r="AP89" i="1" s="1"/>
  <c r="AQ89" i="1" a="1"/>
  <c r="AQ89" i="1" s="1"/>
  <c r="AR89" i="1" a="1"/>
  <c r="AR89" i="1" s="1"/>
  <c r="AS89" i="1" a="1"/>
  <c r="AS89" i="1" s="1"/>
  <c r="AT89" i="1" a="1"/>
  <c r="AT89" i="1" s="1"/>
  <c r="AU89" i="1" a="1"/>
  <c r="AU89" i="1" s="1"/>
  <c r="AV89" i="1" a="1"/>
  <c r="AV89" i="1" s="1"/>
  <c r="AW89" i="1" a="1"/>
  <c r="AW89" i="1" s="1"/>
  <c r="AX89" i="1" a="1"/>
  <c r="AX89" i="1" s="1"/>
  <c r="AY89" i="1" a="1"/>
  <c r="AY89" i="1" s="1"/>
  <c r="AZ89" i="1" a="1"/>
  <c r="AZ89" i="1" s="1"/>
  <c r="BA89" i="1" a="1"/>
  <c r="BA89" i="1" s="1"/>
  <c r="BB89" i="1" a="1"/>
  <c r="BB89" i="1" s="1"/>
  <c r="BC89" i="1" a="1"/>
  <c r="BC89" i="1" s="1"/>
  <c r="BD89" i="1" a="1"/>
  <c r="BD89" i="1" s="1"/>
  <c r="BE89" i="1" a="1"/>
  <c r="BE89" i="1" s="1"/>
  <c r="BF89" i="1" a="1"/>
  <c r="BF89" i="1" s="1"/>
  <c r="BG89" i="1" a="1"/>
  <c r="BG89" i="1" s="1"/>
  <c r="AH83" i="1" a="1"/>
  <c r="AH83" i="1" s="1"/>
  <c r="AJ83" i="1" a="1"/>
  <c r="AJ83" i="1" s="1"/>
  <c r="AK83" i="1" a="1"/>
  <c r="AK83" i="1" s="1"/>
  <c r="AL83" i="1" a="1"/>
  <c r="AL83" i="1" s="1"/>
  <c r="AM83" i="1" a="1"/>
  <c r="AM83" i="1" s="1"/>
  <c r="AN83" i="1" a="1"/>
  <c r="AN83" i="1" s="1"/>
  <c r="AO83" i="1" a="1"/>
  <c r="AO83" i="1" s="1"/>
  <c r="AP83" i="1" a="1"/>
  <c r="AP83" i="1" s="1"/>
  <c r="AQ83" i="1" a="1"/>
  <c r="AQ83" i="1" s="1"/>
  <c r="AR83" i="1" a="1"/>
  <c r="AR83" i="1" s="1"/>
  <c r="AS83" i="1" a="1"/>
  <c r="AS83" i="1" s="1"/>
  <c r="AT83" i="1" a="1"/>
  <c r="AT83" i="1" s="1"/>
  <c r="AU83" i="1" a="1"/>
  <c r="AU83" i="1" s="1"/>
  <c r="AV83" i="1" a="1"/>
  <c r="AV83" i="1" s="1"/>
  <c r="AW83" i="1" a="1"/>
  <c r="AW83" i="1" s="1"/>
  <c r="AX83" i="1" a="1"/>
  <c r="AX83" i="1" s="1"/>
  <c r="AY83" i="1" a="1"/>
  <c r="AY83" i="1" s="1"/>
  <c r="AZ83" i="1" a="1"/>
  <c r="AZ83" i="1" s="1"/>
  <c r="BA83" i="1" a="1"/>
  <c r="BA83" i="1" s="1"/>
  <c r="BB83" i="1" a="1"/>
  <c r="BB83" i="1" s="1"/>
  <c r="BC83" i="1" a="1"/>
  <c r="BC83" i="1" s="1"/>
  <c r="BD83" i="1" a="1"/>
  <c r="BD83" i="1" s="1"/>
  <c r="BE83" i="1" a="1"/>
  <c r="BE83" i="1" s="1"/>
  <c r="BF83" i="1" a="1"/>
  <c r="BF83" i="1" s="1"/>
  <c r="BG83" i="1" a="1"/>
  <c r="BG83" i="1" s="1"/>
  <c r="AC61" i="1" a="1"/>
  <c r="AC61" i="1" s="1"/>
  <c r="AH61" i="1" a="1"/>
  <c r="AH61" i="1" s="1"/>
  <c r="AJ61" i="1" a="1"/>
  <c r="AJ61" i="1" s="1"/>
  <c r="AK61" i="1" a="1"/>
  <c r="AK61" i="1" s="1"/>
  <c r="AL61" i="1" a="1"/>
  <c r="AL61" i="1" s="1"/>
  <c r="AM61" i="1" a="1"/>
  <c r="AM61" i="1" s="1"/>
  <c r="AN61" i="1" a="1"/>
  <c r="AN61" i="1" s="1"/>
  <c r="AO61" i="1" a="1"/>
  <c r="AO61" i="1" s="1"/>
  <c r="AP61" i="1" a="1"/>
  <c r="AP61" i="1" s="1"/>
  <c r="AQ61" i="1" a="1"/>
  <c r="AQ61" i="1" s="1"/>
  <c r="AR61" i="1" a="1"/>
  <c r="AR61" i="1" s="1"/>
  <c r="AS61" i="1" a="1"/>
  <c r="AS61" i="1" s="1"/>
  <c r="AT61" i="1" a="1"/>
  <c r="AT61" i="1" s="1"/>
  <c r="AU61" i="1" a="1"/>
  <c r="AU61" i="1" s="1"/>
  <c r="AV61" i="1" a="1"/>
  <c r="AV61" i="1" s="1"/>
  <c r="AW61" i="1" a="1"/>
  <c r="AW61" i="1" s="1"/>
  <c r="AX61" i="1" a="1"/>
  <c r="AX61" i="1" s="1"/>
  <c r="AY61" i="1" a="1"/>
  <c r="AY61" i="1" s="1"/>
  <c r="AZ61" i="1" a="1"/>
  <c r="AZ61" i="1" s="1"/>
  <c r="BA61" i="1" a="1"/>
  <c r="BA61" i="1" s="1"/>
  <c r="BB61" i="1" a="1"/>
  <c r="BB61" i="1" s="1"/>
  <c r="BC61" i="1" a="1"/>
  <c r="BC61" i="1" s="1"/>
  <c r="BD61" i="1" a="1"/>
  <c r="BD61" i="1" s="1"/>
  <c r="BE61" i="1" a="1"/>
  <c r="BE61" i="1" s="1"/>
  <c r="BF61" i="1" a="1"/>
  <c r="BF61" i="1" s="1"/>
  <c r="BG61" i="1" a="1"/>
  <c r="BG61" i="1" s="1"/>
  <c r="AC2" i="1" a="1"/>
  <c r="AC2" i="1" s="1"/>
  <c r="AD2" i="1" a="1"/>
  <c r="AD2" i="1" s="1"/>
  <c r="AH2" i="1" a="1"/>
  <c r="AH2" i="1" s="1"/>
  <c r="AI2" i="1" a="1"/>
  <c r="AI2" i="1" s="1"/>
  <c r="AJ2" i="1" a="1"/>
  <c r="AJ2" i="1" s="1"/>
  <c r="AK2" i="1" a="1"/>
  <c r="AK2" i="1" s="1"/>
  <c r="AL2" i="1" a="1"/>
  <c r="AL2" i="1" s="1"/>
  <c r="AM2" i="1" a="1"/>
  <c r="AM2" i="1" s="1"/>
  <c r="AN2" i="1" a="1"/>
  <c r="AN2" i="1" s="1"/>
  <c r="AO2" i="1" a="1"/>
  <c r="AO2" i="1" s="1"/>
  <c r="AP2" i="1" a="1"/>
  <c r="AP2" i="1" s="1"/>
  <c r="AQ2" i="1" a="1"/>
  <c r="AQ2" i="1" s="1"/>
  <c r="AR2" i="1" a="1"/>
  <c r="AR2" i="1" s="1"/>
  <c r="AS2" i="1" a="1"/>
  <c r="AS2" i="1" s="1"/>
  <c r="AT2" i="1" a="1"/>
  <c r="AT2" i="1" s="1"/>
  <c r="AU2" i="1" a="1"/>
  <c r="AU2" i="1" s="1"/>
  <c r="AV2" i="1" a="1"/>
  <c r="AV2" i="1" s="1"/>
  <c r="AW2" i="1" a="1"/>
  <c r="AW2" i="1" s="1"/>
  <c r="AX2" i="1" a="1"/>
  <c r="AX2" i="1" s="1"/>
  <c r="AY2" i="1" a="1"/>
  <c r="AY2" i="1" s="1"/>
  <c r="AZ2" i="1" a="1"/>
  <c r="AZ2" i="1" s="1"/>
  <c r="BA2" i="1" a="1"/>
  <c r="BA2" i="1" s="1"/>
  <c r="BB2" i="1" a="1"/>
  <c r="BB2" i="1" s="1"/>
  <c r="BC2" i="1" a="1"/>
  <c r="BC2" i="1" s="1"/>
  <c r="BD2" i="1" a="1"/>
  <c r="BD2" i="1" s="1"/>
  <c r="BE2" i="1" a="1"/>
  <c r="BE2" i="1" s="1"/>
  <c r="BF2" i="1" a="1"/>
  <c r="BF2" i="1" s="1"/>
  <c r="BG2" i="1" a="1"/>
  <c r="BG2" i="1" s="1"/>
  <c r="AC90" i="1" a="1"/>
  <c r="AC90" i="1" s="1"/>
  <c r="AD90" i="1" a="1"/>
  <c r="AD90" i="1" s="1"/>
  <c r="AF90" i="1" a="1"/>
  <c r="AF90" i="1" s="1"/>
  <c r="AG90" i="1" a="1"/>
  <c r="AG90" i="1" s="1"/>
  <c r="AH90" i="1" a="1"/>
  <c r="AH90" i="1" s="1"/>
  <c r="AI90" i="1" a="1"/>
  <c r="AI90" i="1" s="1"/>
  <c r="AJ90" i="1" a="1"/>
  <c r="AJ90" i="1" s="1"/>
  <c r="AK90" i="1" a="1"/>
  <c r="AK90" i="1" s="1"/>
  <c r="AL90" i="1" a="1"/>
  <c r="AL90" i="1" s="1"/>
  <c r="AM90" i="1" a="1"/>
  <c r="AM90" i="1" s="1"/>
  <c r="AN90" i="1" a="1"/>
  <c r="AN90" i="1" s="1"/>
  <c r="AO90" i="1" a="1"/>
  <c r="AO90" i="1" s="1"/>
  <c r="AP90" i="1" a="1"/>
  <c r="AP90" i="1" s="1"/>
  <c r="AQ90" i="1" a="1"/>
  <c r="AQ90" i="1" s="1"/>
  <c r="AR90" i="1" a="1"/>
  <c r="AR90" i="1" s="1"/>
  <c r="AS90" i="1" a="1"/>
  <c r="AS90" i="1" s="1"/>
  <c r="AT90" i="1" a="1"/>
  <c r="AT90" i="1" s="1"/>
  <c r="AU90" i="1" a="1"/>
  <c r="AU90" i="1" s="1"/>
  <c r="AV90" i="1" a="1"/>
  <c r="AV90" i="1" s="1"/>
  <c r="AW90" i="1" a="1"/>
  <c r="AW90" i="1" s="1"/>
  <c r="AX90" i="1" a="1"/>
  <c r="AX90" i="1" s="1"/>
  <c r="AY90" i="1" a="1"/>
  <c r="AY90" i="1" s="1"/>
  <c r="AZ90" i="1" a="1"/>
  <c r="AZ90" i="1" s="1"/>
  <c r="BA90" i="1" a="1"/>
  <c r="BA90" i="1" s="1"/>
  <c r="BB90" i="1" a="1"/>
  <c r="BB90" i="1" s="1"/>
  <c r="BC90" i="1" a="1"/>
  <c r="BC90" i="1" s="1"/>
  <c r="BD90" i="1" a="1"/>
  <c r="BD90" i="1" s="1"/>
  <c r="BE90" i="1" a="1"/>
  <c r="BE90" i="1" s="1"/>
  <c r="BF90" i="1" a="1"/>
  <c r="BF90" i="1" s="1"/>
  <c r="BG90" i="1" a="1"/>
  <c r="BG90" i="1" s="1"/>
  <c r="AC81" i="1" a="1"/>
  <c r="AC81" i="1" s="1"/>
  <c r="AD81" i="1" a="1"/>
  <c r="AD81" i="1" s="1"/>
  <c r="AF81" i="1" a="1"/>
  <c r="AF81" i="1" s="1"/>
  <c r="AG81" i="1" a="1"/>
  <c r="AG81" i="1" s="1"/>
  <c r="AH81" i="1" a="1"/>
  <c r="AH81" i="1" s="1"/>
  <c r="AI81" i="1" a="1"/>
  <c r="AI81" i="1" s="1"/>
  <c r="AJ81" i="1" a="1"/>
  <c r="AJ81" i="1" s="1"/>
  <c r="AK81" i="1" a="1"/>
  <c r="AK81" i="1" s="1"/>
  <c r="AL81" i="1" a="1"/>
  <c r="AL81" i="1" s="1"/>
  <c r="AM81" i="1" a="1"/>
  <c r="AM81" i="1" s="1"/>
  <c r="AN81" i="1" a="1"/>
  <c r="AN81" i="1" s="1"/>
  <c r="AO81" i="1" a="1"/>
  <c r="AO81" i="1" s="1"/>
  <c r="AP81" i="1" a="1"/>
  <c r="AP81" i="1" s="1"/>
  <c r="AQ81" i="1" a="1"/>
  <c r="AQ81" i="1" s="1"/>
  <c r="AR81" i="1" a="1"/>
  <c r="AR81" i="1" s="1"/>
  <c r="AS81" i="1" a="1"/>
  <c r="AS81" i="1" s="1"/>
  <c r="AT81" i="1" a="1"/>
  <c r="AT81" i="1" s="1"/>
  <c r="AU81" i="1" a="1"/>
  <c r="AU81" i="1" s="1"/>
  <c r="AV81" i="1" a="1"/>
  <c r="AV81" i="1" s="1"/>
  <c r="AW81" i="1" a="1"/>
  <c r="AW81" i="1" s="1"/>
  <c r="AX81" i="1" a="1"/>
  <c r="AX81" i="1" s="1"/>
  <c r="AY81" i="1" a="1"/>
  <c r="AY81" i="1" s="1"/>
  <c r="AZ81" i="1" a="1"/>
  <c r="AZ81" i="1" s="1"/>
  <c r="BA81" i="1" a="1"/>
  <c r="BA81" i="1" s="1"/>
  <c r="BB81" i="1" a="1"/>
  <c r="BB81" i="1" s="1"/>
  <c r="BC81" i="1" a="1"/>
  <c r="BC81" i="1" s="1"/>
  <c r="BD81" i="1" a="1"/>
  <c r="BD81" i="1" s="1"/>
  <c r="BE81" i="1" a="1"/>
  <c r="BE81" i="1" s="1"/>
  <c r="BF81" i="1" a="1"/>
  <c r="BF81" i="1" s="1"/>
  <c r="BG81" i="1" a="1"/>
  <c r="BG81" i="1" s="1"/>
  <c r="AC59" i="1" a="1"/>
  <c r="AC59" i="1" s="1"/>
  <c r="AD59" i="1" a="1"/>
  <c r="AD59" i="1" s="1"/>
  <c r="AF59" i="1" a="1"/>
  <c r="AF59" i="1" s="1"/>
  <c r="AG59" i="1" a="1"/>
  <c r="AG59" i="1" s="1"/>
  <c r="AH59" i="1" a="1"/>
  <c r="AH59" i="1" s="1"/>
  <c r="AI59" i="1" a="1"/>
  <c r="AI59" i="1" s="1"/>
  <c r="AJ59" i="1" a="1"/>
  <c r="AJ59" i="1" s="1"/>
  <c r="AK59" i="1" a="1"/>
  <c r="AK59" i="1" s="1"/>
  <c r="AL59" i="1" a="1"/>
  <c r="AL59" i="1" s="1"/>
  <c r="AM59" i="1" a="1"/>
  <c r="AM59" i="1" s="1"/>
  <c r="AN59" i="1" a="1"/>
  <c r="AN59" i="1" s="1"/>
  <c r="AO59" i="1" a="1"/>
  <c r="AO59" i="1" s="1"/>
  <c r="AP59" i="1" a="1"/>
  <c r="AP59" i="1" s="1"/>
  <c r="AQ59" i="1" a="1"/>
  <c r="AQ59" i="1" s="1"/>
  <c r="AR59" i="1" a="1"/>
  <c r="AR59" i="1" s="1"/>
  <c r="AS59" i="1" a="1"/>
  <c r="AS59" i="1" s="1"/>
  <c r="AT59" i="1" a="1"/>
  <c r="AT59" i="1" s="1"/>
  <c r="AU59" i="1" a="1"/>
  <c r="AU59" i="1" s="1"/>
  <c r="AV59" i="1" a="1"/>
  <c r="AV59" i="1" s="1"/>
  <c r="AW59" i="1" a="1"/>
  <c r="AW59" i="1" s="1"/>
  <c r="AX59" i="1" a="1"/>
  <c r="AX59" i="1" s="1"/>
  <c r="AY59" i="1" a="1"/>
  <c r="AY59" i="1" s="1"/>
  <c r="AZ59" i="1" a="1"/>
  <c r="AZ59" i="1" s="1"/>
  <c r="BA59" i="1" a="1"/>
  <c r="BA59" i="1" s="1"/>
  <c r="BB59" i="1" a="1"/>
  <c r="BB59" i="1" s="1"/>
  <c r="BC59" i="1" a="1"/>
  <c r="BC59" i="1" s="1"/>
  <c r="BD59" i="1" a="1"/>
  <c r="BD59" i="1" s="1"/>
  <c r="BE59" i="1" a="1"/>
  <c r="BE59" i="1" s="1"/>
  <c r="BF59" i="1" a="1"/>
  <c r="BF59" i="1" s="1"/>
  <c r="BG59" i="1" a="1"/>
  <c r="BG59" i="1" s="1"/>
  <c r="AC27" i="1" a="1"/>
  <c r="AC27" i="1" s="1"/>
  <c r="AD27" i="1" a="1"/>
  <c r="AD27" i="1" s="1"/>
  <c r="AF27" i="1" a="1"/>
  <c r="AF27" i="1" s="1"/>
  <c r="AG27" i="1" a="1"/>
  <c r="AG27" i="1" s="1"/>
  <c r="AH27" i="1" a="1"/>
  <c r="AH27" i="1" s="1"/>
  <c r="AI27" i="1" a="1"/>
  <c r="AI27" i="1" s="1"/>
  <c r="AJ27" i="1" a="1"/>
  <c r="AJ27" i="1" s="1"/>
  <c r="AK27" i="1" a="1"/>
  <c r="AK27" i="1" s="1"/>
  <c r="AL27" i="1" a="1"/>
  <c r="AL27" i="1" s="1"/>
  <c r="AM27" i="1" a="1"/>
  <c r="AM27" i="1" s="1"/>
  <c r="AN27" i="1" a="1"/>
  <c r="AN27" i="1" s="1"/>
  <c r="AO27" i="1" a="1"/>
  <c r="AO27" i="1" s="1"/>
  <c r="AP27" i="1" a="1"/>
  <c r="AP27" i="1" s="1"/>
  <c r="AQ27" i="1" a="1"/>
  <c r="AQ27" i="1" s="1"/>
  <c r="AR27" i="1" a="1"/>
  <c r="AR27" i="1" s="1"/>
  <c r="AS27" i="1" a="1"/>
  <c r="AS27" i="1" s="1"/>
  <c r="AT27" i="1" a="1"/>
  <c r="AT27" i="1" s="1"/>
  <c r="AU27" i="1" a="1"/>
  <c r="AU27" i="1" s="1"/>
  <c r="AV27" i="1" a="1"/>
  <c r="AV27" i="1" s="1"/>
  <c r="AW27" i="1" a="1"/>
  <c r="AW27" i="1" s="1"/>
  <c r="AX27" i="1" a="1"/>
  <c r="AX27" i="1" s="1"/>
  <c r="AY27" i="1" a="1"/>
  <c r="AY27" i="1" s="1"/>
  <c r="AZ27" i="1" a="1"/>
  <c r="AZ27" i="1" s="1"/>
  <c r="BA27" i="1" a="1"/>
  <c r="BA27" i="1" s="1"/>
  <c r="BB27" i="1" a="1"/>
  <c r="BB27" i="1" s="1"/>
  <c r="BC27" i="1" a="1"/>
  <c r="BC27" i="1" s="1"/>
  <c r="BD27" i="1" a="1"/>
  <c r="BD27" i="1" s="1"/>
  <c r="BE27" i="1" a="1"/>
  <c r="BE27" i="1" s="1"/>
  <c r="BF27" i="1" a="1"/>
  <c r="BF27" i="1" s="1"/>
  <c r="BG27" i="1" a="1"/>
  <c r="BG27" i="1" s="1"/>
  <c r="AC33" i="1" a="1"/>
  <c r="AC33" i="1" s="1"/>
  <c r="AD33" i="1" a="1"/>
  <c r="AD33" i="1" s="1"/>
  <c r="AF33" i="1" a="1"/>
  <c r="AF33" i="1" s="1"/>
  <c r="AH33" i="1" a="1"/>
  <c r="AH33" i="1" s="1"/>
  <c r="AI33" i="1" a="1"/>
  <c r="AI33" i="1" s="1"/>
  <c r="AJ33" i="1" a="1"/>
  <c r="AJ33" i="1" s="1"/>
  <c r="AK33" i="1" a="1"/>
  <c r="AK33" i="1" s="1"/>
  <c r="AL33" i="1" a="1"/>
  <c r="AL33" i="1" s="1"/>
  <c r="AM33" i="1" a="1"/>
  <c r="AM33" i="1" s="1"/>
  <c r="AN33" i="1" a="1"/>
  <c r="AN33" i="1" s="1"/>
  <c r="AO33" i="1" a="1"/>
  <c r="AO33" i="1" s="1"/>
  <c r="AP33" i="1" a="1"/>
  <c r="AP33" i="1" s="1"/>
  <c r="AQ33" i="1" a="1"/>
  <c r="AQ33" i="1" s="1"/>
  <c r="AR33" i="1" a="1"/>
  <c r="AR33" i="1" s="1"/>
  <c r="AS33" i="1" a="1"/>
  <c r="AS33" i="1" s="1"/>
  <c r="AT33" i="1" a="1"/>
  <c r="AT33" i="1" s="1"/>
  <c r="AU33" i="1" a="1"/>
  <c r="AU33" i="1" s="1"/>
  <c r="AV33" i="1" a="1"/>
  <c r="AV33" i="1" s="1"/>
  <c r="AW33" i="1" a="1"/>
  <c r="AW33" i="1" s="1"/>
  <c r="AX33" i="1" a="1"/>
  <c r="AX33" i="1" s="1"/>
  <c r="AY33" i="1" a="1"/>
  <c r="AY33" i="1" s="1"/>
  <c r="AZ33" i="1" a="1"/>
  <c r="AZ33" i="1" s="1"/>
  <c r="BA33" i="1" a="1"/>
  <c r="BA33" i="1" s="1"/>
  <c r="BB33" i="1" a="1"/>
  <c r="BB33" i="1" s="1"/>
  <c r="BC33" i="1" a="1"/>
  <c r="BC33" i="1" s="1"/>
  <c r="BD33" i="1" a="1"/>
  <c r="BD33" i="1" s="1"/>
  <c r="BE33" i="1" a="1"/>
  <c r="BE33" i="1" s="1"/>
  <c r="BF33" i="1" a="1"/>
  <c r="BF33" i="1" s="1"/>
  <c r="BG33" i="1" a="1"/>
  <c r="BG33" i="1" s="1"/>
  <c r="AC82" i="1" a="1"/>
  <c r="AC82" i="1" s="1"/>
  <c r="AD82" i="1" a="1"/>
  <c r="AD82" i="1" s="1"/>
  <c r="AE82" i="1" a="1"/>
  <c r="AE82" i="1" s="1"/>
  <c r="AG82" i="1" a="1"/>
  <c r="AG82" i="1" s="1"/>
  <c r="AH82" i="1" a="1"/>
  <c r="AH82" i="1" s="1"/>
  <c r="AI82" i="1" a="1"/>
  <c r="AI82" i="1" s="1"/>
  <c r="AJ82" i="1" a="1"/>
  <c r="AJ82" i="1" s="1"/>
  <c r="AK82" i="1" a="1"/>
  <c r="AK82" i="1" s="1"/>
  <c r="AL82" i="1" a="1"/>
  <c r="AL82" i="1" s="1"/>
  <c r="AM82" i="1" a="1"/>
  <c r="AM82" i="1" s="1"/>
  <c r="AN82" i="1" a="1"/>
  <c r="AN82" i="1" s="1"/>
  <c r="AO82" i="1" a="1"/>
  <c r="AO82" i="1" s="1"/>
  <c r="AP82" i="1" a="1"/>
  <c r="AP82" i="1" s="1"/>
  <c r="AQ82" i="1" a="1"/>
  <c r="AQ82" i="1" s="1"/>
  <c r="AR82" i="1" a="1"/>
  <c r="AR82" i="1" s="1"/>
  <c r="AS82" i="1" a="1"/>
  <c r="AS82" i="1" s="1"/>
  <c r="AT82" i="1" a="1"/>
  <c r="AT82" i="1" s="1"/>
  <c r="AU82" i="1" a="1"/>
  <c r="AU82" i="1" s="1"/>
  <c r="AV82" i="1" a="1"/>
  <c r="AV82" i="1" s="1"/>
  <c r="AW82" i="1" a="1"/>
  <c r="AW82" i="1" s="1"/>
  <c r="AX82" i="1" a="1"/>
  <c r="AX82" i="1" s="1"/>
  <c r="AY82" i="1" a="1"/>
  <c r="AY82" i="1" s="1"/>
  <c r="AZ82" i="1" a="1"/>
  <c r="AZ82" i="1" s="1"/>
  <c r="BA82" i="1" a="1"/>
  <c r="BA82" i="1" s="1"/>
  <c r="BB82" i="1" a="1"/>
  <c r="BB82" i="1" s="1"/>
  <c r="BC82" i="1" a="1"/>
  <c r="BC82" i="1" s="1"/>
  <c r="BD82" i="1" a="1"/>
  <c r="BD82" i="1" s="1"/>
  <c r="BE82" i="1" a="1"/>
  <c r="BE82" i="1" s="1"/>
  <c r="BF82" i="1" a="1"/>
  <c r="BF82" i="1" s="1"/>
  <c r="BG82" i="1" a="1"/>
  <c r="BG82" i="1" s="1"/>
  <c r="AC73" i="1" a="1"/>
  <c r="AC73" i="1" s="1"/>
  <c r="AD73" i="1" a="1"/>
  <c r="AD73" i="1" s="1"/>
  <c r="AE73" i="1" a="1"/>
  <c r="AE73" i="1" s="1"/>
  <c r="AF73" i="1" a="1"/>
  <c r="AF73" i="1" s="1"/>
  <c r="AH73" i="1" a="1"/>
  <c r="AH73" i="1" s="1"/>
  <c r="AJ73" i="1" a="1"/>
  <c r="AJ73" i="1" s="1"/>
  <c r="AK73" i="1" a="1"/>
  <c r="AK73" i="1" s="1"/>
  <c r="AL73" i="1" a="1"/>
  <c r="AL73" i="1" s="1"/>
  <c r="AM73" i="1" a="1"/>
  <c r="AM73" i="1" s="1"/>
  <c r="AN73" i="1" a="1"/>
  <c r="AN73" i="1" s="1"/>
  <c r="AO73" i="1" a="1"/>
  <c r="AO73" i="1" s="1"/>
  <c r="AP73" i="1" a="1"/>
  <c r="AP73" i="1" s="1"/>
  <c r="AQ73" i="1" a="1"/>
  <c r="AQ73" i="1" s="1"/>
  <c r="AR73" i="1" a="1"/>
  <c r="AR73" i="1" s="1"/>
  <c r="AS73" i="1" a="1"/>
  <c r="AS73" i="1" s="1"/>
  <c r="AT73" i="1" a="1"/>
  <c r="AT73" i="1" s="1"/>
  <c r="AU73" i="1" a="1"/>
  <c r="AU73" i="1" s="1"/>
  <c r="AV73" i="1" a="1"/>
  <c r="AV73" i="1" s="1"/>
  <c r="AW73" i="1" a="1"/>
  <c r="AW73" i="1" s="1"/>
  <c r="AX73" i="1" a="1"/>
  <c r="AX73" i="1" s="1"/>
  <c r="AY73" i="1" a="1"/>
  <c r="AY73" i="1" s="1"/>
  <c r="AZ73" i="1" a="1"/>
  <c r="AZ73" i="1" s="1"/>
  <c r="BA73" i="1" a="1"/>
  <c r="BA73" i="1" s="1"/>
  <c r="BB73" i="1" a="1"/>
  <c r="BB73" i="1" s="1"/>
  <c r="BC73" i="1" a="1"/>
  <c r="BC73" i="1" s="1"/>
  <c r="BD73" i="1" a="1"/>
  <c r="BD73" i="1" s="1"/>
  <c r="BE73" i="1" a="1"/>
  <c r="BE73" i="1" s="1"/>
  <c r="BF73" i="1" a="1"/>
  <c r="BF73" i="1" s="1"/>
  <c r="BG73" i="1" a="1"/>
  <c r="BG73" i="1" s="1"/>
  <c r="AC53" i="1" a="1"/>
  <c r="AC53" i="1" s="1"/>
  <c r="AD53" i="1" a="1"/>
  <c r="AD53" i="1" s="1"/>
  <c r="AE53" i="1" a="1"/>
  <c r="AE53" i="1" s="1"/>
  <c r="AF53" i="1" a="1"/>
  <c r="AF53" i="1" s="1"/>
  <c r="AG53" i="1" a="1"/>
  <c r="AG53" i="1" s="1"/>
  <c r="AI53" i="1" a="1"/>
  <c r="AI53" i="1" s="1"/>
  <c r="AJ53" i="1" a="1"/>
  <c r="AJ53" i="1" s="1"/>
  <c r="AK53" i="1" a="1"/>
  <c r="AK53" i="1" s="1"/>
  <c r="AL53" i="1" a="1"/>
  <c r="AL53" i="1" s="1"/>
  <c r="AM53" i="1" a="1"/>
  <c r="AM53" i="1" s="1"/>
  <c r="AN53" i="1" a="1"/>
  <c r="AN53" i="1" s="1"/>
  <c r="AO53" i="1" a="1"/>
  <c r="AO53" i="1" s="1"/>
  <c r="AP53" i="1" a="1"/>
  <c r="AP53" i="1" s="1"/>
  <c r="AQ53" i="1" a="1"/>
  <c r="AQ53" i="1" s="1"/>
  <c r="AR53" i="1" a="1"/>
  <c r="AR53" i="1" s="1"/>
  <c r="AS53" i="1" a="1"/>
  <c r="AS53" i="1" s="1"/>
  <c r="AT53" i="1" a="1"/>
  <c r="AT53" i="1" s="1"/>
  <c r="AU53" i="1" a="1"/>
  <c r="AU53" i="1" s="1"/>
  <c r="AV53" i="1" a="1"/>
  <c r="AV53" i="1" s="1"/>
  <c r="AW53" i="1" a="1"/>
  <c r="AW53" i="1" s="1"/>
  <c r="AX53" i="1" a="1"/>
  <c r="AX53" i="1" s="1"/>
  <c r="AY53" i="1" a="1"/>
  <c r="AY53" i="1" s="1"/>
  <c r="AZ53" i="1" a="1"/>
  <c r="AZ53" i="1" s="1"/>
  <c r="BA53" i="1" a="1"/>
  <c r="BA53" i="1" s="1"/>
  <c r="BB53" i="1" a="1"/>
  <c r="BB53" i="1" s="1"/>
  <c r="BC53" i="1" a="1"/>
  <c r="BC53" i="1" s="1"/>
  <c r="BD53" i="1" a="1"/>
  <c r="BD53" i="1" s="1"/>
  <c r="BE53" i="1" a="1"/>
  <c r="BE53" i="1" s="1"/>
  <c r="BF53" i="1" a="1"/>
  <c r="BF53" i="1" s="1"/>
  <c r="BG53" i="1" a="1"/>
  <c r="BG53" i="1" s="1"/>
  <c r="AC77" i="1" a="1"/>
  <c r="AC77" i="1" s="1"/>
  <c r="AD77" i="1" a="1"/>
  <c r="AD77" i="1" s="1"/>
  <c r="AE77" i="1" a="1"/>
  <c r="AE77" i="1" s="1"/>
  <c r="AF77" i="1" a="1"/>
  <c r="AF77" i="1" s="1"/>
  <c r="AG77" i="1" a="1"/>
  <c r="AG77" i="1" s="1"/>
  <c r="AI77" i="1" a="1"/>
  <c r="AI77" i="1" s="1"/>
  <c r="AJ77" i="1" a="1"/>
  <c r="AJ77" i="1" s="1"/>
  <c r="AK77" i="1" a="1"/>
  <c r="AK77" i="1" s="1"/>
  <c r="AL77" i="1" a="1"/>
  <c r="AL77" i="1" s="1"/>
  <c r="AM77" i="1" a="1"/>
  <c r="AM77" i="1" s="1"/>
  <c r="AN77" i="1" a="1"/>
  <c r="AN77" i="1" s="1"/>
  <c r="AO77" i="1" a="1"/>
  <c r="AO77" i="1" s="1"/>
  <c r="AP77" i="1" a="1"/>
  <c r="AP77" i="1" s="1"/>
  <c r="AQ77" i="1" a="1"/>
  <c r="AQ77" i="1" s="1"/>
  <c r="AR77" i="1" a="1"/>
  <c r="AR77" i="1" s="1"/>
  <c r="AS77" i="1" a="1"/>
  <c r="AS77" i="1" s="1"/>
  <c r="AT77" i="1" a="1"/>
  <c r="AT77" i="1" s="1"/>
  <c r="AU77" i="1" a="1"/>
  <c r="AU77" i="1" s="1"/>
  <c r="AV77" i="1" a="1"/>
  <c r="AV77" i="1" s="1"/>
  <c r="AW77" i="1" a="1"/>
  <c r="AW77" i="1" s="1"/>
  <c r="AX77" i="1" a="1"/>
  <c r="AX77" i="1" s="1"/>
  <c r="AY77" i="1" a="1"/>
  <c r="AY77" i="1" s="1"/>
  <c r="AZ77" i="1" a="1"/>
  <c r="AZ77" i="1" s="1"/>
  <c r="BA77" i="1" a="1"/>
  <c r="BA77" i="1" s="1"/>
  <c r="BB77" i="1" a="1"/>
  <c r="BB77" i="1" s="1"/>
  <c r="BC77" i="1" a="1"/>
  <c r="BC77" i="1" s="1"/>
  <c r="BD77" i="1" a="1"/>
  <c r="BD77" i="1" s="1"/>
  <c r="BE77" i="1" a="1"/>
  <c r="BE77" i="1" s="1"/>
  <c r="BF77" i="1" a="1"/>
  <c r="BF77" i="1" s="1"/>
  <c r="BG77" i="1" a="1"/>
  <c r="BG77" i="1" s="1"/>
  <c r="AC52" i="1" a="1"/>
  <c r="AC52" i="1" s="1"/>
  <c r="AD52" i="1" a="1"/>
  <c r="AD52" i="1" s="1"/>
  <c r="AE52" i="1" a="1"/>
  <c r="AE52" i="1" s="1"/>
  <c r="AF52" i="1" a="1"/>
  <c r="AF52" i="1" s="1"/>
  <c r="AG52" i="1" a="1"/>
  <c r="AG52" i="1" s="1"/>
  <c r="AI52" i="1" a="1"/>
  <c r="AI52" i="1" s="1"/>
  <c r="AJ52" i="1" a="1"/>
  <c r="AJ52" i="1" s="1"/>
  <c r="AK52" i="1" a="1"/>
  <c r="AK52" i="1" s="1"/>
  <c r="AL52" i="1" a="1"/>
  <c r="AL52" i="1" s="1"/>
  <c r="AM52" i="1" a="1"/>
  <c r="AM52" i="1" s="1"/>
  <c r="AN52" i="1" a="1"/>
  <c r="AN52" i="1" s="1"/>
  <c r="AO52" i="1" a="1"/>
  <c r="AO52" i="1" s="1"/>
  <c r="AP52" i="1" a="1"/>
  <c r="AP52" i="1" s="1"/>
  <c r="AQ52" i="1" a="1"/>
  <c r="AQ52" i="1" s="1"/>
  <c r="AR52" i="1" a="1"/>
  <c r="AR52" i="1" s="1"/>
  <c r="AS52" i="1" a="1"/>
  <c r="AS52" i="1" s="1"/>
  <c r="AT52" i="1" a="1"/>
  <c r="AT52" i="1" s="1"/>
  <c r="AU52" i="1" a="1"/>
  <c r="AU52" i="1" s="1"/>
  <c r="AV52" i="1" a="1"/>
  <c r="AV52" i="1" s="1"/>
  <c r="AW52" i="1" a="1"/>
  <c r="AW52" i="1" s="1"/>
  <c r="AX52" i="1" a="1"/>
  <c r="AX52" i="1" s="1"/>
  <c r="AY52" i="1" a="1"/>
  <c r="AY52" i="1" s="1"/>
  <c r="AZ52" i="1" a="1"/>
  <c r="AZ52" i="1" s="1"/>
  <c r="BA52" i="1" a="1"/>
  <c r="BA52" i="1" s="1"/>
  <c r="BB52" i="1" a="1"/>
  <c r="BB52" i="1" s="1"/>
  <c r="BC52" i="1" a="1"/>
  <c r="BC52" i="1" s="1"/>
  <c r="BD52" i="1" a="1"/>
  <c r="BD52" i="1" s="1"/>
  <c r="BE52" i="1" a="1"/>
  <c r="BE52" i="1" s="1"/>
  <c r="BF52" i="1" a="1"/>
  <c r="BF52" i="1" s="1"/>
  <c r="BG52" i="1" a="1"/>
  <c r="BG52" i="1" s="1"/>
  <c r="AC95" i="1" a="1"/>
  <c r="AC95" i="1" s="1"/>
  <c r="AD95" i="1" a="1"/>
  <c r="AD95" i="1" s="1"/>
  <c r="AE95" i="1" a="1"/>
  <c r="AE95" i="1" s="1"/>
  <c r="AF95" i="1" a="1"/>
  <c r="AF95" i="1" s="1"/>
  <c r="AG95" i="1" a="1"/>
  <c r="AG95" i="1" s="1"/>
  <c r="AH95" i="1" a="1"/>
  <c r="AH95" i="1" s="1"/>
  <c r="AI95" i="1" a="1"/>
  <c r="AI95" i="1" s="1"/>
  <c r="AJ95" i="1" a="1"/>
  <c r="AJ95" i="1" s="1"/>
  <c r="AK95" i="1" a="1"/>
  <c r="AK95" i="1" s="1"/>
  <c r="AL95" i="1" a="1"/>
  <c r="AL95" i="1" s="1"/>
  <c r="AM95" i="1" a="1"/>
  <c r="AM95" i="1" s="1"/>
  <c r="AN95" i="1" a="1"/>
  <c r="AN95" i="1" s="1"/>
  <c r="AO95" i="1" a="1"/>
  <c r="AO95" i="1" s="1"/>
  <c r="AP95" i="1" a="1"/>
  <c r="AP95" i="1" s="1"/>
  <c r="AQ95" i="1" a="1"/>
  <c r="AQ95" i="1" s="1"/>
  <c r="AR95" i="1" a="1"/>
  <c r="AR95" i="1" s="1"/>
  <c r="AS95" i="1" a="1"/>
  <c r="AS95" i="1" s="1"/>
  <c r="AT95" i="1" a="1"/>
  <c r="AT95" i="1" s="1"/>
  <c r="AU95" i="1" a="1"/>
  <c r="AU95" i="1" s="1"/>
  <c r="AV95" i="1" a="1"/>
  <c r="AV95" i="1" s="1"/>
  <c r="AW95" i="1" a="1"/>
  <c r="AW95" i="1" s="1"/>
  <c r="AX95" i="1" a="1"/>
  <c r="AX95" i="1" s="1"/>
  <c r="AY95" i="1" a="1"/>
  <c r="AY95" i="1" s="1"/>
  <c r="AZ95" i="1" a="1"/>
  <c r="AZ95" i="1" s="1"/>
  <c r="BA95" i="1" a="1"/>
  <c r="BA95" i="1" s="1"/>
  <c r="BB95" i="1" a="1"/>
  <c r="BB95" i="1" s="1"/>
  <c r="BC95" i="1" a="1"/>
  <c r="BC95" i="1" s="1"/>
  <c r="BD95" i="1" a="1"/>
  <c r="BD95" i="1" s="1"/>
  <c r="BE95" i="1" a="1"/>
  <c r="BE95" i="1" s="1"/>
  <c r="BF95" i="1" a="1"/>
  <c r="BF95" i="1" s="1"/>
  <c r="BG95" i="1" a="1"/>
  <c r="BG95" i="1" s="1"/>
  <c r="AC96" i="1" a="1"/>
  <c r="AC96" i="1" s="1"/>
  <c r="AD96" i="1" a="1"/>
  <c r="AD96" i="1" s="1"/>
  <c r="AE96" i="1" a="1"/>
  <c r="AE96" i="1" s="1"/>
  <c r="AF96" i="1" a="1"/>
  <c r="AF96" i="1" s="1"/>
  <c r="AG96" i="1" a="1"/>
  <c r="AG96" i="1" s="1"/>
  <c r="AH96" i="1" a="1"/>
  <c r="AH96" i="1" s="1"/>
  <c r="AI96" i="1" a="1"/>
  <c r="AI96" i="1" s="1"/>
  <c r="AJ96" i="1" a="1"/>
  <c r="AJ96" i="1" s="1"/>
  <c r="AK96" i="1" a="1"/>
  <c r="AK96" i="1" s="1"/>
  <c r="AL96" i="1" a="1"/>
  <c r="AL96" i="1" s="1"/>
  <c r="AM96" i="1" a="1"/>
  <c r="AM96" i="1" s="1"/>
  <c r="AN96" i="1" a="1"/>
  <c r="AN96" i="1" s="1"/>
  <c r="AO96" i="1" a="1"/>
  <c r="AO96" i="1" s="1"/>
  <c r="AP96" i="1" a="1"/>
  <c r="AP96" i="1" s="1"/>
  <c r="AQ96" i="1" a="1"/>
  <c r="AQ96" i="1" s="1"/>
  <c r="AR96" i="1" a="1"/>
  <c r="AR96" i="1" s="1"/>
  <c r="AS96" i="1" a="1"/>
  <c r="AS96" i="1" s="1"/>
  <c r="AT96" i="1" a="1"/>
  <c r="AT96" i="1" s="1"/>
  <c r="AU96" i="1" a="1"/>
  <c r="AU96" i="1" s="1"/>
  <c r="AV96" i="1" a="1"/>
  <c r="AV96" i="1" s="1"/>
  <c r="AW96" i="1" a="1"/>
  <c r="AW96" i="1" s="1"/>
  <c r="AX96" i="1" a="1"/>
  <c r="AX96" i="1" s="1"/>
  <c r="AY96" i="1" a="1"/>
  <c r="AY96" i="1" s="1"/>
  <c r="AZ96" i="1" a="1"/>
  <c r="AZ96" i="1" s="1"/>
  <c r="BA96" i="1" a="1"/>
  <c r="BA96" i="1" s="1"/>
  <c r="BB96" i="1" a="1"/>
  <c r="BB96" i="1" s="1"/>
  <c r="BC96" i="1" a="1"/>
  <c r="BC96" i="1" s="1"/>
  <c r="BD96" i="1" a="1"/>
  <c r="BD96" i="1" s="1"/>
  <c r="BE96" i="1" a="1"/>
  <c r="BE96" i="1" s="1"/>
  <c r="BF96" i="1" a="1"/>
  <c r="BF96" i="1" s="1"/>
  <c r="BG96" i="1" a="1"/>
  <c r="BG96" i="1" s="1"/>
  <c r="AB3" i="1" a="1"/>
  <c r="AB3" i="1" s="1"/>
  <c r="E86" i="6" l="1"/>
  <c r="E87" i="6"/>
  <c r="E83" i="6"/>
  <c r="E88" i="6"/>
  <c r="E89" i="6"/>
  <c r="E84" i="6"/>
  <c r="E90" i="6"/>
  <c r="E85" i="6"/>
  <c r="BI33" i="1"/>
  <c r="BI73" i="1"/>
  <c r="AA82" i="1"/>
  <c r="BI82" i="1"/>
  <c r="BJ82" i="1"/>
  <c r="AA90" i="1"/>
  <c r="BI90" i="1"/>
  <c r="BJ90" i="1"/>
  <c r="BJ73" i="1"/>
  <c r="AA73" i="1"/>
  <c r="AA33" i="1"/>
  <c r="BJ33" i="1"/>
  <c r="BI59" i="1"/>
  <c r="BJ59" i="1"/>
  <c r="AA59" i="1"/>
  <c r="BJ53" i="1"/>
  <c r="AA53" i="1"/>
  <c r="BI53" i="1"/>
  <c r="BJ2" i="1"/>
  <c r="AA2" i="1"/>
  <c r="BI2" i="1"/>
  <c r="AA77" i="1"/>
  <c r="BI77" i="1"/>
  <c r="BJ77" i="1"/>
  <c r="AA52" i="1"/>
  <c r="BI52" i="1"/>
  <c r="BJ52" i="1"/>
  <c r="AA81" i="1"/>
  <c r="BI81" i="1"/>
  <c r="BJ81" i="1"/>
  <c r="AA27" i="1"/>
  <c r="BI27" i="1"/>
  <c r="BJ27" i="1"/>
  <c r="BJ3" i="1"/>
  <c r="BJ26" i="1"/>
  <c r="BJ14" i="1"/>
  <c r="BJ15" i="1"/>
  <c r="BJ16" i="1"/>
  <c r="BJ18" i="1"/>
  <c r="BJ19" i="1"/>
  <c r="BJ20" i="1"/>
  <c r="BJ21" i="1"/>
  <c r="BJ22" i="1"/>
  <c r="BJ23" i="1"/>
  <c r="BJ24" i="1"/>
  <c r="BJ25" i="1"/>
  <c r="BJ28" i="1"/>
  <c r="BJ29" i="1"/>
  <c r="BJ30" i="1"/>
  <c r="BJ31" i="1"/>
  <c r="BJ32" i="1"/>
  <c r="BJ34" i="1"/>
  <c r="BJ35" i="1"/>
  <c r="BJ36" i="1"/>
  <c r="BJ37" i="1"/>
  <c r="BJ38" i="1"/>
  <c r="BJ61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4" i="1"/>
  <c r="BJ55" i="1"/>
  <c r="BJ56" i="1"/>
  <c r="BJ57" i="1"/>
  <c r="BJ58" i="1"/>
  <c r="BJ60" i="1"/>
  <c r="BJ62" i="1"/>
  <c r="BJ64" i="1"/>
  <c r="BJ66" i="1"/>
  <c r="BJ67" i="1"/>
  <c r="BJ68" i="1"/>
  <c r="BJ69" i="1"/>
  <c r="BJ70" i="1"/>
  <c r="BJ71" i="1"/>
  <c r="BJ72" i="1"/>
  <c r="BJ74" i="1"/>
  <c r="BJ75" i="1"/>
  <c r="BJ76" i="1"/>
  <c r="BJ78" i="1"/>
  <c r="BJ79" i="1"/>
  <c r="BJ80" i="1"/>
  <c r="BJ85" i="1"/>
  <c r="BJ86" i="1"/>
  <c r="BJ87" i="1"/>
  <c r="BJ88" i="1"/>
  <c r="BJ89" i="1"/>
  <c r="C84" i="6" s="1"/>
  <c r="BJ65" i="1"/>
  <c r="BJ8" i="1"/>
  <c r="BJ17" i="1"/>
  <c r="BJ84" i="1"/>
  <c r="BJ63" i="1"/>
  <c r="BJ4" i="1"/>
  <c r="BJ5" i="1"/>
  <c r="BJ6" i="1"/>
  <c r="BJ7" i="1"/>
  <c r="BJ9" i="1"/>
  <c r="BJ10" i="1"/>
  <c r="BJ11" i="1"/>
  <c r="BJ12" i="1"/>
  <c r="BJ13" i="1"/>
  <c r="BJ83" i="1"/>
  <c r="BI83" i="1"/>
  <c r="BI3" i="1"/>
  <c r="BI4" i="1"/>
  <c r="BI5" i="1"/>
  <c r="BI6" i="1"/>
  <c r="BI7" i="1"/>
  <c r="BI9" i="1"/>
  <c r="BI10" i="1"/>
  <c r="BI11" i="1"/>
  <c r="BI12" i="1"/>
  <c r="BI13" i="1"/>
  <c r="BI14" i="1"/>
  <c r="BI15" i="1"/>
  <c r="BI16" i="1"/>
  <c r="BI18" i="1"/>
  <c r="BI19" i="1"/>
  <c r="BI20" i="1"/>
  <c r="BI21" i="1"/>
  <c r="BI22" i="1"/>
  <c r="BI23" i="1"/>
  <c r="BI24" i="1"/>
  <c r="BI25" i="1"/>
  <c r="BI26" i="1"/>
  <c r="BI28" i="1"/>
  <c r="BI29" i="1"/>
  <c r="BI30" i="1"/>
  <c r="BI31" i="1"/>
  <c r="BI32" i="1"/>
  <c r="BI34" i="1"/>
  <c r="BI35" i="1"/>
  <c r="BI36" i="1"/>
  <c r="BI37" i="1"/>
  <c r="BI38" i="1"/>
  <c r="BI61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4" i="1"/>
  <c r="BI55" i="1"/>
  <c r="BI56" i="1"/>
  <c r="BI57" i="1"/>
  <c r="BI58" i="1"/>
  <c r="BI60" i="1"/>
  <c r="BI62" i="1"/>
  <c r="BI64" i="1"/>
  <c r="BI66" i="1"/>
  <c r="BI67" i="1"/>
  <c r="BI68" i="1"/>
  <c r="BI69" i="1"/>
  <c r="BI70" i="1"/>
  <c r="BI71" i="1"/>
  <c r="BI72" i="1"/>
  <c r="BI74" i="1"/>
  <c r="BI75" i="1"/>
  <c r="BI76" i="1"/>
  <c r="BI78" i="1"/>
  <c r="BI79" i="1"/>
  <c r="BI80" i="1"/>
  <c r="BI85" i="1"/>
  <c r="BI86" i="1"/>
  <c r="BI87" i="1"/>
  <c r="BI88" i="1"/>
  <c r="BI89" i="1"/>
  <c r="BI8" i="1"/>
  <c r="BI17" i="1"/>
  <c r="BI84" i="1"/>
  <c r="BI63" i="1"/>
  <c r="BI65" i="1"/>
  <c r="AA86" i="1"/>
  <c r="AA87" i="1"/>
  <c r="AA88" i="1"/>
  <c r="AA89" i="1"/>
  <c r="AA65" i="1"/>
  <c r="AA8" i="1"/>
  <c r="AA17" i="1"/>
  <c r="AA84" i="1"/>
  <c r="AA63" i="1"/>
  <c r="AA83" i="1"/>
  <c r="AA3" i="1"/>
  <c r="AA4" i="1"/>
  <c r="AA5" i="1"/>
  <c r="AA6" i="1"/>
  <c r="AA7" i="1"/>
  <c r="AA9" i="1"/>
  <c r="AA10" i="1"/>
  <c r="AA11" i="1"/>
  <c r="AA12" i="1"/>
  <c r="AA13" i="1"/>
  <c r="AA14" i="1"/>
  <c r="AA15" i="1"/>
  <c r="AA16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AA34" i="1"/>
  <c r="AA35" i="1"/>
  <c r="AA36" i="1"/>
  <c r="AA37" i="1"/>
  <c r="AA38" i="1"/>
  <c r="AA61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4" i="1"/>
  <c r="AA55" i="1"/>
  <c r="AA56" i="1"/>
  <c r="AA57" i="1"/>
  <c r="AA58" i="1"/>
  <c r="AA60" i="1"/>
  <c r="AA62" i="1"/>
  <c r="AA64" i="1"/>
  <c r="AA66" i="1"/>
  <c r="AA67" i="1"/>
  <c r="AA68" i="1"/>
  <c r="AA69" i="1"/>
  <c r="AA70" i="1"/>
  <c r="AA71" i="1"/>
  <c r="AA72" i="1"/>
  <c r="AA74" i="1"/>
  <c r="AA75" i="1"/>
  <c r="AA76" i="1"/>
  <c r="AA78" i="1"/>
  <c r="AA79" i="1"/>
  <c r="AA80" i="1"/>
  <c r="AA85" i="1"/>
  <c r="B26" i="9"/>
  <c r="B19" i="9"/>
  <c r="A41" i="9"/>
  <c r="B58" i="9"/>
  <c r="C89" i="6" l="1"/>
  <c r="C88" i="6"/>
  <c r="C85" i="6"/>
  <c r="C83" i="6"/>
  <c r="C86" i="6"/>
  <c r="C90" i="6"/>
  <c r="C87" i="6"/>
  <c r="C29" i="6"/>
  <c r="C80" i="6"/>
  <c r="C26" i="6"/>
  <c r="C40" i="6"/>
  <c r="C39" i="6"/>
  <c r="C32" i="6"/>
  <c r="C71" i="6"/>
  <c r="C28" i="6"/>
  <c r="C68" i="6"/>
  <c r="C6" i="6"/>
  <c r="C54" i="6"/>
  <c r="C50" i="6"/>
  <c r="C7" i="6"/>
  <c r="C65" i="6"/>
  <c r="C12" i="6"/>
  <c r="C57" i="6"/>
  <c r="C4" i="6"/>
  <c r="C48" i="6"/>
  <c r="C38" i="6"/>
  <c r="C11" i="6"/>
  <c r="C47" i="6"/>
  <c r="C52" i="6"/>
  <c r="C55" i="6"/>
  <c r="C72" i="6"/>
  <c r="C25" i="6"/>
  <c r="C9" i="6"/>
  <c r="C58" i="6"/>
  <c r="C45" i="6"/>
  <c r="C78" i="6"/>
  <c r="C77" i="6"/>
  <c r="C34" i="6"/>
  <c r="C23" i="6"/>
  <c r="C49" i="6"/>
  <c r="C35" i="6"/>
  <c r="C37" i="6"/>
  <c r="C74" i="6"/>
  <c r="C42" i="6"/>
  <c r="C59" i="6"/>
  <c r="C22" i="6"/>
  <c r="C79" i="6"/>
  <c r="C20" i="6"/>
  <c r="C69" i="6"/>
  <c r="C14" i="6"/>
  <c r="C60" i="6"/>
  <c r="C67" i="6"/>
  <c r="C33" i="6"/>
  <c r="C53" i="6"/>
  <c r="C41" i="6"/>
  <c r="C8" i="6"/>
  <c r="C76" i="6"/>
  <c r="C82" i="6"/>
  <c r="C75" i="6"/>
  <c r="C17" i="6"/>
  <c r="C21" i="6"/>
  <c r="C30" i="6"/>
  <c r="C19" i="6"/>
  <c r="C10" i="6"/>
  <c r="C62" i="6"/>
  <c r="C5" i="6"/>
  <c r="C16" i="6"/>
  <c r="C44" i="6"/>
  <c r="C31" i="6"/>
  <c r="C70" i="6"/>
  <c r="C64" i="6"/>
  <c r="C3" i="6"/>
  <c r="C56" i="6"/>
  <c r="C36" i="6"/>
  <c r="C46" i="6"/>
  <c r="C61" i="6"/>
  <c r="C13" i="6"/>
  <c r="C43" i="6"/>
  <c r="C51" i="6"/>
  <c r="C18" i="6"/>
  <c r="C15" i="6"/>
  <c r="C27" i="6"/>
  <c r="C73" i="6"/>
  <c r="C66" i="6"/>
  <c r="C63" i="6"/>
  <c r="C81" i="6"/>
  <c r="C24" i="6"/>
  <c r="C2" i="6"/>
  <c r="A71" i="9"/>
  <c r="B67" i="9"/>
  <c r="B68" i="9"/>
  <c r="B69" i="9"/>
  <c r="B70" i="9"/>
  <c r="B60" i="9"/>
  <c r="B72" i="9"/>
  <c r="B73" i="9"/>
  <c r="B74" i="9"/>
  <c r="B75" i="9"/>
  <c r="B76" i="9"/>
  <c r="B77" i="9"/>
  <c r="B78" i="9"/>
  <c r="B79" i="9"/>
  <c r="B80" i="9"/>
  <c r="B81" i="9"/>
  <c r="B82" i="9"/>
  <c r="B83" i="9"/>
  <c r="A67" i="9"/>
  <c r="A68" i="9"/>
  <c r="A69" i="9"/>
  <c r="A70" i="9"/>
  <c r="A60" i="9"/>
  <c r="A72" i="9"/>
  <c r="A73" i="9"/>
  <c r="A74" i="9"/>
  <c r="A75" i="9"/>
  <c r="A76" i="9"/>
  <c r="A77" i="9"/>
  <c r="A78" i="9"/>
  <c r="A79" i="9"/>
  <c r="A80" i="9"/>
  <c r="A81" i="9"/>
  <c r="A82" i="9"/>
  <c r="A83" i="9"/>
  <c r="A16" i="9"/>
  <c r="A55" i="9"/>
  <c r="A60" i="6"/>
  <c r="D60" i="6"/>
  <c r="B60" i="6" s="1"/>
  <c r="A37" i="6"/>
  <c r="D37" i="6"/>
  <c r="B37" i="6" s="1"/>
  <c r="A3" i="6"/>
  <c r="D3" i="6"/>
  <c r="B3" i="6" s="1"/>
  <c r="A47" i="6"/>
  <c r="D47" i="6"/>
  <c r="B47" i="6" s="1"/>
  <c r="A50" i="6"/>
  <c r="D50" i="6"/>
  <c r="B50" i="6" s="1"/>
  <c r="A75" i="6"/>
  <c r="D75" i="6"/>
  <c r="B75" i="6" s="1"/>
  <c r="A5" i="6"/>
  <c r="D5" i="6"/>
  <c r="B5" i="6" s="1"/>
  <c r="A4" i="6"/>
  <c r="D4" i="6"/>
  <c r="B4" i="6" s="1"/>
  <c r="A22" i="6"/>
  <c r="D22" i="6"/>
  <c r="B22" i="6" s="1"/>
  <c r="A62" i="6"/>
  <c r="D62" i="6"/>
  <c r="B62" i="6" s="1"/>
  <c r="A31" i="6"/>
  <c r="D31" i="6"/>
  <c r="B31" i="6" s="1"/>
  <c r="A12" i="6"/>
  <c r="D12" i="6"/>
  <c r="B12" i="6" s="1"/>
  <c r="D32" i="6"/>
  <c r="B32" i="6" s="1"/>
  <c r="D36" i="6"/>
  <c r="B36" i="6" s="1"/>
  <c r="D78" i="6"/>
  <c r="B78" i="6" s="1"/>
  <c r="D33" i="6"/>
  <c r="B33" i="6" s="1"/>
  <c r="E32" i="6"/>
  <c r="E36" i="6"/>
  <c r="E78" i="6"/>
  <c r="E33" i="6"/>
  <c r="E60" i="6"/>
  <c r="E37" i="6"/>
  <c r="E3" i="6"/>
  <c r="E47" i="6"/>
  <c r="E50" i="6"/>
  <c r="E75" i="6"/>
  <c r="E5" i="6"/>
  <c r="E4" i="6"/>
  <c r="E22" i="6"/>
  <c r="E62" i="6"/>
  <c r="E31" i="6"/>
  <c r="E12" i="6"/>
  <c r="A32" i="6"/>
  <c r="A36" i="6"/>
  <c r="A78" i="6"/>
  <c r="A33" i="6"/>
  <c r="B10" i="9"/>
  <c r="B3" i="9"/>
  <c r="B11" i="9"/>
  <c r="B12" i="9"/>
  <c r="B13" i="9"/>
  <c r="B7" i="9"/>
  <c r="B14" i="9"/>
  <c r="B64" i="9"/>
  <c r="B15" i="9"/>
  <c r="B18" i="9"/>
  <c r="B4" i="9"/>
  <c r="B17" i="9"/>
  <c r="B21" i="9"/>
  <c r="B63" i="9"/>
  <c r="B16" i="9"/>
  <c r="B20" i="9"/>
  <c r="B25" i="9"/>
  <c r="B22" i="9"/>
  <c r="B24" i="9"/>
  <c r="B29" i="9"/>
  <c r="B27" i="9"/>
  <c r="B28" i="9"/>
  <c r="B37" i="9"/>
  <c r="B30" i="9"/>
  <c r="B31" i="9"/>
  <c r="B32" i="9"/>
  <c r="B33" i="9"/>
  <c r="B66" i="9"/>
  <c r="B34" i="9"/>
  <c r="B2" i="9"/>
  <c r="B23" i="9"/>
  <c r="B6" i="9"/>
  <c r="B35" i="9"/>
  <c r="B38" i="9"/>
  <c r="B8" i="9"/>
  <c r="B36" i="9"/>
  <c r="B40" i="9"/>
  <c r="B41" i="9"/>
  <c r="B42" i="9"/>
  <c r="B43" i="9"/>
  <c r="B44" i="9"/>
  <c r="B45" i="9"/>
  <c r="B65" i="9"/>
  <c r="B5" i="9"/>
  <c r="B71" i="9"/>
  <c r="B46" i="9"/>
  <c r="B47" i="9"/>
  <c r="B48" i="9"/>
  <c r="B49" i="9"/>
  <c r="B50" i="9"/>
  <c r="B51" i="9"/>
  <c r="B52" i="9"/>
  <c r="B53" i="9"/>
  <c r="B54" i="9"/>
  <c r="B39" i="9"/>
  <c r="B56" i="9"/>
  <c r="B57" i="9"/>
  <c r="B59" i="9"/>
  <c r="B55" i="9"/>
  <c r="B61" i="9"/>
  <c r="B62" i="9"/>
  <c r="B9" i="9"/>
  <c r="D59" i="6"/>
  <c r="B59" i="6" s="1"/>
  <c r="D74" i="6"/>
  <c r="B74" i="6" s="1"/>
  <c r="D69" i="6"/>
  <c r="B69" i="6" s="1"/>
  <c r="D38" i="6"/>
  <c r="B38" i="6" s="1"/>
  <c r="D8" i="6"/>
  <c r="B8" i="6" s="1"/>
  <c r="D51" i="6"/>
  <c r="B51" i="6" s="1"/>
  <c r="D49" i="6"/>
  <c r="B49" i="6" s="1"/>
  <c r="D77" i="6"/>
  <c r="B77" i="6" s="1"/>
  <c r="D81" i="6"/>
  <c r="B81" i="6" s="1"/>
  <c r="D55" i="6"/>
  <c r="B55" i="6" s="1"/>
  <c r="D9" i="6"/>
  <c r="B9" i="6" s="1"/>
  <c r="D71" i="6"/>
  <c r="B71" i="6" s="1"/>
  <c r="D30" i="6"/>
  <c r="B30" i="6" s="1"/>
  <c r="D24" i="6"/>
  <c r="B24" i="6" s="1"/>
  <c r="D82" i="6"/>
  <c r="B82" i="6" s="1"/>
  <c r="D15" i="6"/>
  <c r="B15" i="6" s="1"/>
  <c r="D42" i="6"/>
  <c r="B42" i="6" s="1"/>
  <c r="D34" i="6"/>
  <c r="B34" i="6" s="1"/>
  <c r="D14" i="6"/>
  <c r="B14" i="6" s="1"/>
  <c r="D7" i="6"/>
  <c r="B7" i="6" s="1"/>
  <c r="D68" i="6"/>
  <c r="B68" i="6" s="1"/>
  <c r="D11" i="6"/>
  <c r="B11" i="6" s="1"/>
  <c r="D10" i="6"/>
  <c r="B10" i="6" s="1"/>
  <c r="D53" i="6"/>
  <c r="B53" i="6" s="1"/>
  <c r="D45" i="6"/>
  <c r="B45" i="6" s="1"/>
  <c r="D17" i="6"/>
  <c r="B17" i="6" s="1"/>
  <c r="D19" i="6"/>
  <c r="B19" i="6" s="1"/>
  <c r="D61" i="6"/>
  <c r="B61" i="6" s="1"/>
  <c r="D16" i="6"/>
  <c r="B16" i="6" s="1"/>
  <c r="D18" i="6"/>
  <c r="B18" i="6" s="1"/>
  <c r="D65" i="6"/>
  <c r="B65" i="6" s="1"/>
  <c r="D72" i="6"/>
  <c r="B72" i="6" s="1"/>
  <c r="D28" i="6"/>
  <c r="B28" i="6" s="1"/>
  <c r="D39" i="6"/>
  <c r="B39" i="6" s="1"/>
  <c r="D41" i="6"/>
  <c r="B41" i="6" s="1"/>
  <c r="D76" i="6"/>
  <c r="B76" i="6" s="1"/>
  <c r="D52" i="6"/>
  <c r="B52" i="6" s="1"/>
  <c r="D63" i="6"/>
  <c r="D44" i="6"/>
  <c r="B44" i="6" s="1"/>
  <c r="D70" i="6"/>
  <c r="B70" i="6" s="1"/>
  <c r="D20" i="6"/>
  <c r="B20" i="6" s="1"/>
  <c r="D25" i="6"/>
  <c r="B25" i="6" s="1"/>
  <c r="D79" i="6"/>
  <c r="B79" i="6" s="1"/>
  <c r="D58" i="6"/>
  <c r="B58" i="6" s="1"/>
  <c r="D26" i="6"/>
  <c r="B26" i="6" s="1"/>
  <c r="D35" i="6"/>
  <c r="B35" i="6" s="1"/>
  <c r="D13" i="6"/>
  <c r="B13" i="6" s="1"/>
  <c r="D54" i="6"/>
  <c r="B54" i="6" s="1"/>
  <c r="D46" i="6"/>
  <c r="B46" i="6" s="1"/>
  <c r="D2" i="6"/>
  <c r="B2" i="6" s="1"/>
  <c r="D80" i="6"/>
  <c r="B80" i="6" s="1"/>
  <c r="D48" i="6"/>
  <c r="B48" i="6" s="1"/>
  <c r="D64" i="6"/>
  <c r="B64" i="6" s="1"/>
  <c r="D27" i="6"/>
  <c r="B27" i="6" s="1"/>
  <c r="D6" i="6"/>
  <c r="B6" i="6" s="1"/>
  <c r="D29" i="6"/>
  <c r="B29" i="6" s="1"/>
  <c r="D66" i="6"/>
  <c r="B66" i="6" s="1"/>
  <c r="D40" i="6"/>
  <c r="B40" i="6" s="1"/>
  <c r="D21" i="6"/>
  <c r="B21" i="6" s="1"/>
  <c r="D57" i="6"/>
  <c r="B57" i="6" s="1"/>
  <c r="D67" i="6"/>
  <c r="B67" i="6" s="1"/>
  <c r="D73" i="6"/>
  <c r="B73" i="6" s="1"/>
  <c r="D43" i="6"/>
  <c r="B43" i="6" s="1"/>
  <c r="D23" i="6"/>
  <c r="B23" i="6" s="1"/>
  <c r="D56" i="6"/>
  <c r="B56" i="6" s="1"/>
  <c r="A62" i="9"/>
  <c r="A61" i="9"/>
  <c r="A59" i="9"/>
  <c r="A58" i="9"/>
  <c r="A57" i="9"/>
  <c r="A56" i="9"/>
  <c r="A39" i="9"/>
  <c r="A54" i="9"/>
  <c r="A53" i="9"/>
  <c r="A52" i="9"/>
  <c r="A51" i="9"/>
  <c r="A50" i="9"/>
  <c r="A49" i="9"/>
  <c r="A48" i="9"/>
  <c r="A47" i="9"/>
  <c r="A46" i="9"/>
  <c r="A5" i="9"/>
  <c r="A65" i="9"/>
  <c r="A45" i="9"/>
  <c r="A44" i="9"/>
  <c r="A43" i="9"/>
  <c r="A42" i="9"/>
  <c r="A40" i="9"/>
  <c r="A36" i="9"/>
  <c r="A8" i="9"/>
  <c r="A38" i="9"/>
  <c r="A35" i="9"/>
  <c r="A6" i="9"/>
  <c r="A23" i="9"/>
  <c r="A2" i="9"/>
  <c r="A34" i="9"/>
  <c r="A66" i="9"/>
  <c r="A33" i="9"/>
  <c r="A32" i="9"/>
  <c r="A31" i="9"/>
  <c r="A30" i="9"/>
  <c r="A37" i="9"/>
  <c r="A28" i="9"/>
  <c r="A27" i="9"/>
  <c r="A26" i="9"/>
  <c r="A29" i="9"/>
  <c r="A24" i="9"/>
  <c r="A19" i="9"/>
  <c r="A22" i="9"/>
  <c r="A25" i="9"/>
  <c r="A20" i="9"/>
  <c r="A63" i="9"/>
  <c r="A21" i="9"/>
  <c r="A17" i="9"/>
  <c r="A4" i="9"/>
  <c r="A18" i="9"/>
  <c r="A15" i="9"/>
  <c r="A64" i="9"/>
  <c r="A14" i="9"/>
  <c r="A7" i="9"/>
  <c r="A13" i="9"/>
  <c r="A12" i="9"/>
  <c r="A11" i="9"/>
  <c r="A3" i="9"/>
  <c r="A10" i="9"/>
  <c r="A9" i="9"/>
  <c r="A56" i="6"/>
  <c r="A48" i="6"/>
  <c r="E48" i="6"/>
  <c r="A64" i="6"/>
  <c r="E64" i="6"/>
  <c r="A27" i="6"/>
  <c r="E27" i="6"/>
  <c r="A6" i="6"/>
  <c r="E6" i="6"/>
  <c r="E56" i="6"/>
  <c r="A59" i="6"/>
  <c r="E59" i="6"/>
  <c r="A74" i="6"/>
  <c r="E74" i="6"/>
  <c r="A69" i="6"/>
  <c r="E69" i="6"/>
  <c r="A38" i="6"/>
  <c r="E38" i="6"/>
  <c r="A8" i="6"/>
  <c r="E8" i="6"/>
  <c r="A73" i="6"/>
  <c r="E73" i="6"/>
  <c r="A43" i="6"/>
  <c r="E43" i="6"/>
  <c r="A23" i="6"/>
  <c r="E23" i="6"/>
  <c r="E51" i="6"/>
  <c r="E49" i="6"/>
  <c r="E77" i="6"/>
  <c r="E81" i="6"/>
  <c r="E55" i="6"/>
  <c r="E9" i="6"/>
  <c r="E71" i="6"/>
  <c r="E30" i="6"/>
  <c r="E24" i="6"/>
  <c r="E82" i="6"/>
  <c r="E15" i="6"/>
  <c r="E42" i="6"/>
  <c r="E34" i="6"/>
  <c r="E14" i="6"/>
  <c r="E7" i="6"/>
  <c r="E68" i="6"/>
  <c r="E11" i="6"/>
  <c r="E10" i="6"/>
  <c r="E53" i="6"/>
  <c r="E45" i="6"/>
  <c r="E17" i="6"/>
  <c r="E19" i="6"/>
  <c r="E61" i="6"/>
  <c r="E16" i="6"/>
  <c r="E18" i="6"/>
  <c r="E65" i="6"/>
  <c r="E72" i="6"/>
  <c r="E28" i="6"/>
  <c r="E39" i="6"/>
  <c r="E41" i="6"/>
  <c r="E76" i="6"/>
  <c r="E52" i="6"/>
  <c r="E63" i="6"/>
  <c r="E44" i="6"/>
  <c r="E70" i="6"/>
  <c r="E20" i="6"/>
  <c r="E25" i="6"/>
  <c r="E79" i="6"/>
  <c r="E58" i="6"/>
  <c r="E26" i="6"/>
  <c r="E35" i="6"/>
  <c r="E13" i="6"/>
  <c r="E54" i="6"/>
  <c r="E46" i="6"/>
  <c r="E2" i="6"/>
  <c r="E80" i="6"/>
  <c r="E29" i="6"/>
  <c r="E66" i="6"/>
  <c r="E40" i="6"/>
  <c r="E21" i="6"/>
  <c r="E57" i="6"/>
  <c r="E67" i="6"/>
  <c r="A9" i="6"/>
  <c r="A71" i="6"/>
  <c r="A30" i="6"/>
  <c r="A24" i="6"/>
  <c r="A68" i="6"/>
  <c r="A72" i="6"/>
  <c r="A28" i="6"/>
  <c r="A11" i="6"/>
  <c r="A10" i="6"/>
  <c r="A82" i="6"/>
  <c r="A39" i="6"/>
  <c r="A15" i="6"/>
  <c r="A53" i="6"/>
  <c r="A42" i="6"/>
  <c r="A45" i="6"/>
  <c r="A51" i="6"/>
  <c r="A17" i="6"/>
  <c r="A19" i="6"/>
  <c r="A49" i="6"/>
  <c r="A34" i="6"/>
  <c r="A77" i="6"/>
  <c r="A76" i="6"/>
  <c r="A61" i="6"/>
  <c r="A16" i="6"/>
  <c r="A18" i="6"/>
  <c r="A52" i="6"/>
  <c r="A63" i="6"/>
  <c r="A44" i="6"/>
  <c r="A70" i="6"/>
  <c r="A20" i="6"/>
  <c r="A25" i="6"/>
  <c r="A14" i="6"/>
  <c r="A58" i="6"/>
  <c r="A81" i="6"/>
  <c r="A26" i="6"/>
  <c r="A7" i="6"/>
  <c r="A65" i="6"/>
  <c r="A35" i="6"/>
  <c r="A13" i="6"/>
  <c r="A54" i="6"/>
  <c r="A46" i="6"/>
  <c r="A2" i="6"/>
  <c r="A80" i="6"/>
  <c r="A29" i="6"/>
  <c r="A66" i="6"/>
  <c r="A40" i="6"/>
  <c r="A21" i="6"/>
  <c r="A57" i="6"/>
  <c r="A67" i="6"/>
  <c r="A55" i="6"/>
  <c r="B63" i="6"/>
  <c r="C91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<sst xmlns="http://schemas.openxmlformats.org/spreadsheetml/2006/main" count="363" uniqueCount="162">
  <si>
    <t>Golfer1</t>
  </si>
  <si>
    <t>Score</t>
  </si>
  <si>
    <t>2Pot1</t>
  </si>
  <si>
    <t>Golfer2</t>
  </si>
  <si>
    <t>Score3</t>
  </si>
  <si>
    <t>2Pot2</t>
  </si>
  <si>
    <t>Golfer3</t>
  </si>
  <si>
    <t>Score 4</t>
  </si>
  <si>
    <t>2Pot3</t>
  </si>
  <si>
    <t>Golfer4</t>
  </si>
  <si>
    <t>Score 5</t>
  </si>
  <si>
    <t>2Pot4</t>
  </si>
  <si>
    <t>Golfer5</t>
  </si>
  <si>
    <t>Score 6</t>
  </si>
  <si>
    <t>2Pot5</t>
  </si>
  <si>
    <t>Golfer6</t>
  </si>
  <si>
    <t>Score 62</t>
  </si>
  <si>
    <t>2Pot6</t>
  </si>
  <si>
    <t xml:space="preserve">Total </t>
  </si>
  <si>
    <t>Winners</t>
  </si>
  <si>
    <t>2pot22</t>
  </si>
  <si>
    <t>Golfer</t>
  </si>
  <si>
    <t>2 Pot</t>
  </si>
  <si>
    <t xml:space="preserve">Wins </t>
  </si>
  <si>
    <t>Avg Score</t>
  </si>
  <si>
    <t xml:space="preserve">Average </t>
  </si>
  <si>
    <t>number of rounds</t>
  </si>
  <si>
    <t>Joe Ristiano</t>
  </si>
  <si>
    <t xml:space="preserve">Jerry Neal </t>
  </si>
  <si>
    <t>Mike Spoon</t>
  </si>
  <si>
    <t>David Radford</t>
  </si>
  <si>
    <t>Denis Hayes</t>
  </si>
  <si>
    <t>Matt Fauteux</t>
  </si>
  <si>
    <t>Jimmy McGuire</t>
  </si>
  <si>
    <t>Dick Pilotte</t>
  </si>
  <si>
    <t>Zach Sherman</t>
  </si>
  <si>
    <t>Mike Guzman</t>
  </si>
  <si>
    <t>Joey Cabrera</t>
  </si>
  <si>
    <t>Owen Merritt</t>
  </si>
  <si>
    <t>Brad Grabarek</t>
  </si>
  <si>
    <t>Josh Burns</t>
  </si>
  <si>
    <t>Andrew Hahn</t>
  </si>
  <si>
    <t>Sam Paynter</t>
  </si>
  <si>
    <t>Danny Williams</t>
  </si>
  <si>
    <t>Andrew Quick</t>
  </si>
  <si>
    <t>Walter Bach</t>
  </si>
  <si>
    <t>Andrew white</t>
  </si>
  <si>
    <t>Otis Collier</t>
  </si>
  <si>
    <t>Graham Taylor</t>
  </si>
  <si>
    <t>Mike Morris</t>
  </si>
  <si>
    <t>Mike Whitfield</t>
  </si>
  <si>
    <t>Braxton Hughes</t>
  </si>
  <si>
    <t>Barb Doenges</t>
  </si>
  <si>
    <t>Beth Ruggles</t>
  </si>
  <si>
    <t>Tim Rutt</t>
  </si>
  <si>
    <t>Bill Elkins</t>
  </si>
  <si>
    <t>Patric Westbrook</t>
  </si>
  <si>
    <t>Jay Slaughter</t>
  </si>
  <si>
    <t>Bill Stone</t>
  </si>
  <si>
    <t>Bobby Wingate</t>
  </si>
  <si>
    <t>Drew Froman</t>
  </si>
  <si>
    <t>Brett Dippolito</t>
  </si>
  <si>
    <t xml:space="preserve">Hudson Wilkins </t>
  </si>
  <si>
    <t>John Sanders</t>
  </si>
  <si>
    <t>Brett Walters</t>
  </si>
  <si>
    <t>Janet Upchurch</t>
  </si>
  <si>
    <t>Colt Westbrook</t>
  </si>
  <si>
    <t>Caleb Rodgers</t>
  </si>
  <si>
    <t>Josh Edwards</t>
  </si>
  <si>
    <t>Chris Farrell</t>
  </si>
  <si>
    <t>Colin White</t>
  </si>
  <si>
    <t>Jason Poe</t>
  </si>
  <si>
    <t>Scotty Wilkins</t>
  </si>
  <si>
    <t>Rick Whitaker</t>
  </si>
  <si>
    <t>Mason Wilkins</t>
  </si>
  <si>
    <t>Dan O</t>
  </si>
  <si>
    <t>Paul Ratkovic</t>
  </si>
  <si>
    <t>Duane W</t>
  </si>
  <si>
    <t>Tom Chandler</t>
  </si>
  <si>
    <t>PJ Meade</t>
  </si>
  <si>
    <t>Evan W</t>
  </si>
  <si>
    <t>Gerett Hudson</t>
  </si>
  <si>
    <t>Keith McClintock</t>
  </si>
  <si>
    <t>Jake Howard</t>
  </si>
  <si>
    <t>James D</t>
  </si>
  <si>
    <t>Larry Chapell</t>
  </si>
  <si>
    <t>Jason Boucher</t>
  </si>
  <si>
    <t>Little Dick P</t>
  </si>
  <si>
    <t>Joe McIntyer</t>
  </si>
  <si>
    <t>John Kenlan</t>
  </si>
  <si>
    <t>Quint Garrett</t>
  </si>
  <si>
    <t>Justin Hall</t>
  </si>
  <si>
    <t>Kirk Brown</t>
  </si>
  <si>
    <t>Mark Foley</t>
  </si>
  <si>
    <t>Michael Hall</t>
  </si>
  <si>
    <t>Times @ Tee</t>
  </si>
  <si>
    <t>2Pot</t>
  </si>
  <si>
    <t>Avg NET Score</t>
  </si>
  <si>
    <t>Wayne Ball</t>
  </si>
  <si>
    <t>Art Menius</t>
  </si>
  <si>
    <t>Steve Loftis</t>
  </si>
  <si>
    <t>Art Menuis</t>
  </si>
  <si>
    <t xml:space="preserve">Steve Loftis </t>
  </si>
  <si>
    <t>Mike King</t>
  </si>
  <si>
    <t>Barry Perry</t>
  </si>
  <si>
    <t>Brian Satterfield</t>
  </si>
  <si>
    <t>Tim M</t>
  </si>
  <si>
    <t>Micheal Hugins</t>
  </si>
  <si>
    <t>guest 1</t>
  </si>
  <si>
    <t>guest 2</t>
  </si>
  <si>
    <t>Column1</t>
  </si>
  <si>
    <t>11-Mar</t>
  </si>
  <si>
    <t>18-Mar</t>
  </si>
  <si>
    <t>25-Mar</t>
  </si>
  <si>
    <t>Column33</t>
  </si>
  <si>
    <t>01-Apr</t>
  </si>
  <si>
    <t>08-Apr</t>
  </si>
  <si>
    <t>15-Apr</t>
  </si>
  <si>
    <t>22-Apr</t>
  </si>
  <si>
    <t>29-Apr</t>
  </si>
  <si>
    <t>06-May</t>
  </si>
  <si>
    <t>13-May</t>
  </si>
  <si>
    <t>20-May</t>
  </si>
  <si>
    <t>27-May</t>
  </si>
  <si>
    <t>03-Jun</t>
  </si>
  <si>
    <t>10-Jun</t>
  </si>
  <si>
    <t>17-Jun</t>
  </si>
  <si>
    <t>24-Jun</t>
  </si>
  <si>
    <t>01-Jul</t>
  </si>
  <si>
    <t>08-Jul</t>
  </si>
  <si>
    <t>15-Jul</t>
  </si>
  <si>
    <t>22-Jul</t>
  </si>
  <si>
    <t>29-Jul</t>
  </si>
  <si>
    <t>05-Aug</t>
  </si>
  <si>
    <t>12-Aug</t>
  </si>
  <si>
    <t>19-Aug</t>
  </si>
  <si>
    <t>26-Aug</t>
  </si>
  <si>
    <t>02-Sep</t>
  </si>
  <si>
    <t>09-Sep</t>
  </si>
  <si>
    <t>16-Sep</t>
  </si>
  <si>
    <t>23-Sep</t>
  </si>
  <si>
    <t>30-Sep</t>
  </si>
  <si>
    <t>07-Oct</t>
  </si>
  <si>
    <t>14-Oct</t>
  </si>
  <si>
    <t>Tim Jones</t>
  </si>
  <si>
    <t>Matt T</t>
  </si>
  <si>
    <t>winners</t>
  </si>
  <si>
    <t>Matt Torcasso</t>
  </si>
  <si>
    <t>Andrew George</t>
  </si>
  <si>
    <t xml:space="preserve">Zack Wright </t>
  </si>
  <si>
    <t>Steve Wright</t>
  </si>
  <si>
    <t>Matt Brooks</t>
  </si>
  <si>
    <t>Douglass Mac</t>
  </si>
  <si>
    <t>Greg Slaughter</t>
  </si>
  <si>
    <t xml:space="preserve"> </t>
  </si>
  <si>
    <t>playoff W</t>
  </si>
  <si>
    <t>Tim C</t>
  </si>
  <si>
    <t>Phillip Herndon</t>
  </si>
  <si>
    <t>Kevin Wicker</t>
  </si>
  <si>
    <t>Rob Fenlon</t>
  </si>
  <si>
    <t>Kevin Stanley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</si>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</sst>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5">
    <xf numFmtId="0" fontId="0" fillId="0" borderId="0" xfId="0"/>
    <xf numFmtId="16" fontId="0" fillId="0" borderId="0" xfId="0" applyNumberFormat="1"/>
    <xf numFmtId="0" fontId="0" fillId="0" borderId="1" xfId="0" applyBorder="1"/>
    <xf numFmtId="0" fontId="0" fillId="0" borderId="2" xfId="0" applyBorder="1"/>
    <xf numFmtId="1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1" fontId="0" fillId="0" borderId="3" xfId="0" applyNumberFormat="1" applyBorder="1"/>
    <xf numFmtId="0" fontId="0" fillId="0" borderId="10" xfId="0" applyBorder="1"/>
    <xf numFmtId="1" fontId="3" fillId="0" borderId="4" xfId="0" applyNumberFormat="1" applyFont="1" applyBorder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3" borderId="8" xfId="0" applyFont="1" applyFill="1" applyBorder="1" applyAlignment="1">
      <alignment textRotation="64"/>
    </xf>
    <xf numFmtId="0" fontId="1" fillId="3" borderId="6" xfId="0" applyFont="1" applyFill="1" applyBorder="1" applyAlignment="1">
      <alignment textRotation="64"/>
    </xf>
    <xf numFmtId="0" fontId="1" fillId="3" borderId="1" xfId="0" applyFont="1" applyFill="1" applyBorder="1" applyAlignment="1">
      <alignment horizontal="center" textRotation="64"/>
    </xf>
    <xf numFmtId="1" fontId="0" fillId="0" borderId="1" xfId="0" applyNumberFormat="1" applyBorder="1" applyAlignment="1">
      <alignment horizontal="center" textRotation="64"/>
    </xf>
    <xf numFmtId="0" fontId="4" fillId="2" borderId="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0" fontId="6" fillId="2" borderId="8" xfId="0" applyFont="1" applyFill="1" applyBorder="1"/>
    <xf numFmtId="1" fontId="0" fillId="0" borderId="4" xfId="0" applyNumberFormat="1" applyBorder="1"/>
    <xf numFmtId="0" fontId="4" fillId="2" borderId="11" xfId="0" applyFont="1" applyFill="1" applyBorder="1" applyAlignment="1">
      <alignment horizontal="center"/>
    </xf>
    <xf numFmtId="0" fontId="6" fillId="2" borderId="12" xfId="0" applyFont="1" applyFill="1" applyBorder="1"/>
    <xf numFmtId="0" fontId="4" fillId="2" borderId="13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1" fillId="3" borderId="12" xfId="0" applyFont="1" applyFill="1" applyBorder="1" applyAlignment="1">
      <alignment textRotation="64"/>
    </xf>
    <xf numFmtId="0" fontId="1" fillId="3" borderId="1" xfId="0" applyFont="1" applyFill="1" applyBorder="1" applyAlignment="1">
      <alignment textRotation="64"/>
    </xf>
    <xf numFmtId="0" fontId="0" fillId="2" borderId="14" xfId="0" applyFill="1" applyBorder="1"/>
    <xf numFmtId="0" fontId="0" fillId="2" borderId="15" xfId="0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4" fontId="0" fillId="0" borderId="0" xfId="0" applyNumberFormat="1"/>
    <xf numFmtId="49" fontId="0" fillId="0" borderId="0" xfId="0" applyNumberFormat="1"/>
    <xf numFmtId="0" fontId="0" fillId="4" borderId="0" xfId="0" applyFill="1"/>
    <xf numFmtId="0" fontId="0" fillId="5" borderId="0" xfId="0" applyFill="1"/>
    <xf numFmtId="164" fontId="0" fillId="6" borderId="0" xfId="0" applyNumberFormat="1" applyFill="1"/>
    <xf numFmtId="0" fontId="0" fillId="6" borderId="0" xfId="0" applyFill="1"/>
    <xf numFmtId="0" fontId="0" fillId="2" borderId="16" xfId="0" applyFill="1" applyBorder="1"/>
    <xf numFmtId="0" fontId="0" fillId="2" borderId="7" xfId="0" applyFill="1" applyBorder="1" applyAlignment="1">
      <alignment horizontal="center"/>
    </xf>
    <xf numFmtId="0" fontId="6" fillId="2" borderId="16" xfId="0" applyFont="1" applyFill="1" applyBorder="1"/>
    <xf numFmtId="0" fontId="7" fillId="0" borderId="0" xfId="0" applyFont="1"/>
    <xf numFmtId="16" fontId="0" fillId="6" borderId="0" xfId="0" applyNumberFormat="1" applyFill="1"/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right style="medium">
          <color indexed="64"/>
        </right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64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theme="4" tint="0.39997558519241921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medium">
          <color indexed="64"/>
        </right>
        <top style="thin">
          <color theme="4" tint="0.39997558519241921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medium">
          <color indexed="64"/>
        </right>
      </border>
    </dxf>
    <dxf>
      <alignment vertical="bottom" textRotation="64" wrapText="0" justifyLastLine="0" shrinkToFit="0" readingOrder="0"/>
    </dxf>
    <dxf>
      <numFmt numFmtId="0" formatCode="General"/>
    </dxf>
    <dxf>
      <numFmt numFmtId="1" formatCode="0"/>
    </dxf>
    <dxf>
      <numFmt numFmtId="1" formatCode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" formatCode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1" formatCode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WINS</a:t>
            </a:r>
          </a:p>
        </c:rich>
      </c:tx>
      <c:layout>
        <c:manualLayout>
          <c:xMode val="edge"/>
          <c:yMode val="edge"/>
          <c:x val="0.31411069918528001"/>
          <c:y val="5.206233815923423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759992289099456"/>
          <c:y val="7.7247831617044474E-2"/>
          <c:w val="0.87239254415231993"/>
          <c:h val="0.90548421347988228"/>
        </c:manualLayout>
      </c:layout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Wins'!$A$2:$A$90</c:f>
              <c:strCache>
                <c:ptCount val="89"/>
                <c:pt idx="0">
                  <c:v>Andrew George</c:v>
                </c:pt>
                <c:pt idx="1">
                  <c:v>Andrew Hahn</c:v>
                </c:pt>
                <c:pt idx="2">
                  <c:v>Andrew Quick</c:v>
                </c:pt>
                <c:pt idx="3">
                  <c:v>Andrew white</c:v>
                </c:pt>
                <c:pt idx="4">
                  <c:v>Art Menuis</c:v>
                </c:pt>
                <c:pt idx="5">
                  <c:v>Barb Doenges</c:v>
                </c:pt>
                <c:pt idx="6">
                  <c:v>Barry Perry</c:v>
                </c:pt>
                <c:pt idx="7">
                  <c:v>Beth Ruggles</c:v>
                </c:pt>
                <c:pt idx="8">
                  <c:v>Bill Elkins</c:v>
                </c:pt>
                <c:pt idx="9">
                  <c:v>Bill Stone</c:v>
                </c:pt>
                <c:pt idx="10">
                  <c:v>Bobby Wingate</c:v>
                </c:pt>
                <c:pt idx="11">
                  <c:v>Brad Grabarek</c:v>
                </c:pt>
                <c:pt idx="12">
                  <c:v>Braxton Hughes</c:v>
                </c:pt>
                <c:pt idx="13">
                  <c:v>Brett Dippolito</c:v>
                </c:pt>
                <c:pt idx="14">
                  <c:v>Brett Walters</c:v>
                </c:pt>
                <c:pt idx="15">
                  <c:v>Brian Satterfield</c:v>
                </c:pt>
                <c:pt idx="16">
                  <c:v>Caleb Rodgers</c:v>
                </c:pt>
                <c:pt idx="17">
                  <c:v>Chris Farrell</c:v>
                </c:pt>
                <c:pt idx="18">
                  <c:v>Colin White</c:v>
                </c:pt>
                <c:pt idx="19">
                  <c:v>Colt Westbrook</c:v>
                </c:pt>
                <c:pt idx="20">
                  <c:v>Dan O</c:v>
                </c:pt>
                <c:pt idx="21">
                  <c:v>Danny Williams</c:v>
                </c:pt>
                <c:pt idx="22">
                  <c:v>David Radford</c:v>
                </c:pt>
                <c:pt idx="23">
                  <c:v>Denis Hayes</c:v>
                </c:pt>
                <c:pt idx="24">
                  <c:v>Dick Pilotte</c:v>
                </c:pt>
                <c:pt idx="25">
                  <c:v>Douglass Mac</c:v>
                </c:pt>
                <c:pt idx="26">
                  <c:v>Drew Froman</c:v>
                </c:pt>
                <c:pt idx="27">
                  <c:v>Duane W</c:v>
                </c:pt>
                <c:pt idx="28">
                  <c:v>Evan W</c:v>
                </c:pt>
                <c:pt idx="29">
                  <c:v>Gerett Hudson</c:v>
                </c:pt>
                <c:pt idx="30">
                  <c:v>Graham Taylor</c:v>
                </c:pt>
                <c:pt idx="31">
                  <c:v>Greg Slaughter</c:v>
                </c:pt>
                <c:pt idx="32">
                  <c:v>Hudson Wilkins </c:v>
                </c:pt>
                <c:pt idx="33">
                  <c:v>Jake Howard</c:v>
                </c:pt>
                <c:pt idx="34">
                  <c:v>James D</c:v>
                </c:pt>
                <c:pt idx="35">
                  <c:v>Janet Upchurch</c:v>
                </c:pt>
                <c:pt idx="36">
                  <c:v>Jason Boucher</c:v>
                </c:pt>
                <c:pt idx="37">
                  <c:v>Jason Poe</c:v>
                </c:pt>
                <c:pt idx="38">
                  <c:v>Jay Slaughter</c:v>
                </c:pt>
                <c:pt idx="39">
                  <c:v>Art Menius</c:v>
                </c:pt>
                <c:pt idx="40">
                  <c:v>Jimmy McGuire</c:v>
                </c:pt>
                <c:pt idx="41">
                  <c:v>Joe McIntyer</c:v>
                </c:pt>
                <c:pt idx="42">
                  <c:v>Joe Ristiano</c:v>
                </c:pt>
                <c:pt idx="43">
                  <c:v>Joey Cabrera</c:v>
                </c:pt>
                <c:pt idx="44">
                  <c:v>John Kenlan</c:v>
                </c:pt>
                <c:pt idx="45">
                  <c:v>John Sanders</c:v>
                </c:pt>
                <c:pt idx="46">
                  <c:v>Josh Burns</c:v>
                </c:pt>
                <c:pt idx="47">
                  <c:v>Josh Edwards</c:v>
                </c:pt>
                <c:pt idx="48">
                  <c:v>Justin Hall</c:v>
                </c:pt>
                <c:pt idx="49">
                  <c:v>Keith McClintock</c:v>
                </c:pt>
                <c:pt idx="50">
                  <c:v>Kevin Stanley</c:v>
                </c:pt>
                <c:pt idx="51">
                  <c:v>Kevin Wicker</c:v>
                </c:pt>
                <c:pt idx="52">
                  <c:v>Kirk Brown</c:v>
                </c:pt>
                <c:pt idx="53">
                  <c:v>Larry Chapell</c:v>
                </c:pt>
                <c:pt idx="54">
                  <c:v>Little Dick P</c:v>
                </c:pt>
                <c:pt idx="55">
                  <c:v>Mark Foley</c:v>
                </c:pt>
                <c:pt idx="56">
                  <c:v>Mason Wilkins</c:v>
                </c:pt>
                <c:pt idx="57">
                  <c:v>Matt Brooks</c:v>
                </c:pt>
                <c:pt idx="58">
                  <c:v>Matt Fauteux</c:v>
                </c:pt>
                <c:pt idx="59">
                  <c:v>Matt Torcasso</c:v>
                </c:pt>
                <c:pt idx="60">
                  <c:v>Michael Hall</c:v>
                </c:pt>
                <c:pt idx="61">
                  <c:v>Micheal Hugins</c:v>
                </c:pt>
                <c:pt idx="62">
                  <c:v>Mike Guzman</c:v>
                </c:pt>
                <c:pt idx="63">
                  <c:v>Mike King</c:v>
                </c:pt>
                <c:pt idx="64">
                  <c:v>Mike Morris</c:v>
                </c:pt>
                <c:pt idx="65">
                  <c:v>Mike Spoon</c:v>
                </c:pt>
                <c:pt idx="66">
                  <c:v>Mike Whitfield</c:v>
                </c:pt>
                <c:pt idx="67">
                  <c:v>Otis Collier</c:v>
                </c:pt>
                <c:pt idx="68">
                  <c:v>Owen Merritt</c:v>
                </c:pt>
                <c:pt idx="69">
                  <c:v>Patric Westbrook</c:v>
                </c:pt>
                <c:pt idx="70">
                  <c:v>Paul Ratkovic</c:v>
                </c:pt>
                <c:pt idx="71">
                  <c:v>Phillip Herndon</c:v>
                </c:pt>
                <c:pt idx="72">
                  <c:v>PJ Meade</c:v>
                </c:pt>
                <c:pt idx="73">
                  <c:v>Quint Garrett</c:v>
                </c:pt>
                <c:pt idx="74">
                  <c:v>Rick Whitaker</c:v>
                </c:pt>
                <c:pt idx="75">
                  <c:v>Rob Fenlon</c:v>
                </c:pt>
                <c:pt idx="76">
                  <c:v>Sam Paynter</c:v>
                </c:pt>
                <c:pt idx="77">
                  <c:v>Steve Loftis</c:v>
                </c:pt>
                <c:pt idx="78">
                  <c:v>Steve Loftis </c:v>
                </c:pt>
                <c:pt idx="79">
                  <c:v>Steve Wright</c:v>
                </c:pt>
                <c:pt idx="80">
                  <c:v>Tim C</c:v>
                </c:pt>
                <c:pt idx="81">
                  <c:v>Tim Jones</c:v>
                </c:pt>
                <c:pt idx="82">
                  <c:v>Tim M</c:v>
                </c:pt>
                <c:pt idx="83">
                  <c:v>Tim Rutt</c:v>
                </c:pt>
                <c:pt idx="84">
                  <c:v>Tom Chandler</c:v>
                </c:pt>
                <c:pt idx="85">
                  <c:v>Walter Bach</c:v>
                </c:pt>
                <c:pt idx="86">
                  <c:v>Wayne Ball</c:v>
                </c:pt>
                <c:pt idx="87">
                  <c:v>Zach Sherman</c:v>
                </c:pt>
                <c:pt idx="88">
                  <c:v>Zack Wright </c:v>
                </c:pt>
              </c:strCache>
            </c:strRef>
          </c:cat>
          <c:val>
            <c:numRef>
              <c:f>'Total Wins'!$B$2:$B$90</c:f>
              <c:numCache>
                <c:formatCode>General</c:formatCode>
                <c:ptCount val="89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2.5</c:v>
                </c:pt>
                <c:pt idx="23">
                  <c:v>5.5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1.5</c:v>
                </c:pt>
                <c:pt idx="38">
                  <c:v>0</c:v>
                </c:pt>
                <c:pt idx="39">
                  <c:v>1</c:v>
                </c:pt>
                <c:pt idx="40">
                  <c:v>1.5</c:v>
                </c:pt>
                <c:pt idx="41">
                  <c:v>0</c:v>
                </c:pt>
                <c:pt idx="42">
                  <c:v>0.5</c:v>
                </c:pt>
                <c:pt idx="43">
                  <c:v>3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0.5</c:v>
                </c:pt>
                <c:pt idx="58">
                  <c:v>0</c:v>
                </c:pt>
                <c:pt idx="59">
                  <c:v>1.5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1.5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0.5</c:v>
                </c:pt>
                <c:pt idx="75">
                  <c:v>0</c:v>
                </c:pt>
                <c:pt idx="76">
                  <c:v>0</c:v>
                </c:pt>
                <c:pt idx="77">
                  <c:v>1.5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3-4D2F-BB10-BFF5874E67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925525231"/>
        <c:axId val="1925533871"/>
        <c:axId val="0"/>
      </c:bar3DChart>
      <c:catAx>
        <c:axId val="192552523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533871"/>
        <c:crosses val="autoZero"/>
        <c:auto val="1"/>
        <c:lblAlgn val="ctr"/>
        <c:lblOffset val="100"/>
        <c:noMultiLvlLbl val="0"/>
      </c:catAx>
      <c:valAx>
        <c:axId val="192553387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52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 vs Times played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1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'Total Wins'!$A$1</c:f>
              <c:strCache>
                <c:ptCount val="1"/>
                <c:pt idx="0">
                  <c:v>Golfer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'Total Wins'!$A$2:$A$53</c:f>
              <c:strCache>
                <c:ptCount val="52"/>
                <c:pt idx="0">
                  <c:v>Andrew George</c:v>
                </c:pt>
                <c:pt idx="1">
                  <c:v>Andrew Hahn</c:v>
                </c:pt>
                <c:pt idx="2">
                  <c:v>Andrew Quick</c:v>
                </c:pt>
                <c:pt idx="3">
                  <c:v>Andrew white</c:v>
                </c:pt>
                <c:pt idx="4">
                  <c:v>Art Menuis</c:v>
                </c:pt>
                <c:pt idx="5">
                  <c:v>Barb Doenges</c:v>
                </c:pt>
                <c:pt idx="6">
                  <c:v>Barry Perry</c:v>
                </c:pt>
                <c:pt idx="7">
                  <c:v>Beth Ruggles</c:v>
                </c:pt>
                <c:pt idx="8">
                  <c:v>Bill Elkins</c:v>
                </c:pt>
                <c:pt idx="9">
                  <c:v>Bill Stone</c:v>
                </c:pt>
                <c:pt idx="10">
                  <c:v>Bobby Wingate</c:v>
                </c:pt>
                <c:pt idx="11">
                  <c:v>Brad Grabarek</c:v>
                </c:pt>
                <c:pt idx="12">
                  <c:v>Braxton Hughes</c:v>
                </c:pt>
                <c:pt idx="13">
                  <c:v>Brett Dippolito</c:v>
                </c:pt>
                <c:pt idx="14">
                  <c:v>Brett Walters</c:v>
                </c:pt>
                <c:pt idx="15">
                  <c:v>Brian Satterfield</c:v>
                </c:pt>
                <c:pt idx="16">
                  <c:v>Caleb Rodgers</c:v>
                </c:pt>
                <c:pt idx="17">
                  <c:v>Chris Farrell</c:v>
                </c:pt>
                <c:pt idx="18">
                  <c:v>Colin White</c:v>
                </c:pt>
                <c:pt idx="19">
                  <c:v>Colt Westbrook</c:v>
                </c:pt>
                <c:pt idx="20">
                  <c:v>Dan O</c:v>
                </c:pt>
                <c:pt idx="21">
                  <c:v>Danny Williams</c:v>
                </c:pt>
                <c:pt idx="22">
                  <c:v>David Radford</c:v>
                </c:pt>
                <c:pt idx="23">
                  <c:v>Denis Hayes</c:v>
                </c:pt>
                <c:pt idx="24">
                  <c:v>Dick Pilotte</c:v>
                </c:pt>
                <c:pt idx="25">
                  <c:v>Douglass Mac</c:v>
                </c:pt>
                <c:pt idx="26">
                  <c:v>Drew Froman</c:v>
                </c:pt>
                <c:pt idx="27">
                  <c:v>Duane W</c:v>
                </c:pt>
                <c:pt idx="28">
                  <c:v>Evan W</c:v>
                </c:pt>
                <c:pt idx="29">
                  <c:v>Gerett Hudson</c:v>
                </c:pt>
                <c:pt idx="30">
                  <c:v>Graham Taylor</c:v>
                </c:pt>
                <c:pt idx="31">
                  <c:v>Greg Slaughter</c:v>
                </c:pt>
                <c:pt idx="32">
                  <c:v>Hudson Wilkins </c:v>
                </c:pt>
                <c:pt idx="33">
                  <c:v>Jake Howard</c:v>
                </c:pt>
                <c:pt idx="34">
                  <c:v>James D</c:v>
                </c:pt>
                <c:pt idx="35">
                  <c:v>Janet Upchurch</c:v>
                </c:pt>
                <c:pt idx="36">
                  <c:v>Jason Boucher</c:v>
                </c:pt>
                <c:pt idx="37">
                  <c:v>Jason Poe</c:v>
                </c:pt>
                <c:pt idx="38">
                  <c:v>Jay Slaughter</c:v>
                </c:pt>
                <c:pt idx="39">
                  <c:v>Art Menius</c:v>
                </c:pt>
                <c:pt idx="40">
                  <c:v>Jimmy McGuire</c:v>
                </c:pt>
                <c:pt idx="41">
                  <c:v>Joe McIntyer</c:v>
                </c:pt>
                <c:pt idx="42">
                  <c:v>Joe Ristiano</c:v>
                </c:pt>
                <c:pt idx="43">
                  <c:v>Joey Cabrera</c:v>
                </c:pt>
                <c:pt idx="44">
                  <c:v>John Kenlan</c:v>
                </c:pt>
                <c:pt idx="45">
                  <c:v>John Sanders</c:v>
                </c:pt>
                <c:pt idx="46">
                  <c:v>Josh Burns</c:v>
                </c:pt>
                <c:pt idx="47">
                  <c:v>Josh Edwards</c:v>
                </c:pt>
                <c:pt idx="48">
                  <c:v>Justin Hall</c:v>
                </c:pt>
                <c:pt idx="49">
                  <c:v>Keith McClintock</c:v>
                </c:pt>
                <c:pt idx="50">
                  <c:v>Kevin Stanley</c:v>
                </c:pt>
                <c:pt idx="51">
                  <c:v>Kevin Wicker</c:v>
                </c:pt>
              </c:strCache>
            </c:strRef>
          </c:cat>
          <c:val>
            <c:numRef>
              <c:f>'Total Wins'!$A$2:$A$90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8-4649-B55B-AD38059C3B04}"/>
            </c:ext>
          </c:extLst>
        </c:ser>
        <c:ser>
          <c:idx val="1"/>
          <c:order val="1"/>
          <c:tx>
            <c:strRef>
              <c:f>'Total Wins'!$B$1</c:f>
              <c:strCache>
                <c:ptCount val="1"/>
                <c:pt idx="0">
                  <c:v>Wins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Wins'!$A$2:$A$53</c:f>
              <c:strCache>
                <c:ptCount val="52"/>
                <c:pt idx="0">
                  <c:v>Andrew George</c:v>
                </c:pt>
                <c:pt idx="1">
                  <c:v>Andrew Hahn</c:v>
                </c:pt>
                <c:pt idx="2">
                  <c:v>Andrew Quick</c:v>
                </c:pt>
                <c:pt idx="3">
                  <c:v>Andrew white</c:v>
                </c:pt>
                <c:pt idx="4">
                  <c:v>Art Menuis</c:v>
                </c:pt>
                <c:pt idx="5">
                  <c:v>Barb Doenges</c:v>
                </c:pt>
                <c:pt idx="6">
                  <c:v>Barry Perry</c:v>
                </c:pt>
                <c:pt idx="7">
                  <c:v>Beth Ruggles</c:v>
                </c:pt>
                <c:pt idx="8">
                  <c:v>Bill Elkins</c:v>
                </c:pt>
                <c:pt idx="9">
                  <c:v>Bill Stone</c:v>
                </c:pt>
                <c:pt idx="10">
                  <c:v>Bobby Wingate</c:v>
                </c:pt>
                <c:pt idx="11">
                  <c:v>Brad Grabarek</c:v>
                </c:pt>
                <c:pt idx="12">
                  <c:v>Braxton Hughes</c:v>
                </c:pt>
                <c:pt idx="13">
                  <c:v>Brett Dippolito</c:v>
                </c:pt>
                <c:pt idx="14">
                  <c:v>Brett Walters</c:v>
                </c:pt>
                <c:pt idx="15">
                  <c:v>Brian Satterfield</c:v>
                </c:pt>
                <c:pt idx="16">
                  <c:v>Caleb Rodgers</c:v>
                </c:pt>
                <c:pt idx="17">
                  <c:v>Chris Farrell</c:v>
                </c:pt>
                <c:pt idx="18">
                  <c:v>Colin White</c:v>
                </c:pt>
                <c:pt idx="19">
                  <c:v>Colt Westbrook</c:v>
                </c:pt>
                <c:pt idx="20">
                  <c:v>Dan O</c:v>
                </c:pt>
                <c:pt idx="21">
                  <c:v>Danny Williams</c:v>
                </c:pt>
                <c:pt idx="22">
                  <c:v>David Radford</c:v>
                </c:pt>
                <c:pt idx="23">
                  <c:v>Denis Hayes</c:v>
                </c:pt>
                <c:pt idx="24">
                  <c:v>Dick Pilotte</c:v>
                </c:pt>
                <c:pt idx="25">
                  <c:v>Douglass Mac</c:v>
                </c:pt>
                <c:pt idx="26">
                  <c:v>Drew Froman</c:v>
                </c:pt>
                <c:pt idx="27">
                  <c:v>Duane W</c:v>
                </c:pt>
                <c:pt idx="28">
                  <c:v>Evan W</c:v>
                </c:pt>
                <c:pt idx="29">
                  <c:v>Gerett Hudson</c:v>
                </c:pt>
                <c:pt idx="30">
                  <c:v>Graham Taylor</c:v>
                </c:pt>
                <c:pt idx="31">
                  <c:v>Greg Slaughter</c:v>
                </c:pt>
                <c:pt idx="32">
                  <c:v>Hudson Wilkins </c:v>
                </c:pt>
                <c:pt idx="33">
                  <c:v>Jake Howard</c:v>
                </c:pt>
                <c:pt idx="34">
                  <c:v>James D</c:v>
                </c:pt>
                <c:pt idx="35">
                  <c:v>Janet Upchurch</c:v>
                </c:pt>
                <c:pt idx="36">
                  <c:v>Jason Boucher</c:v>
                </c:pt>
                <c:pt idx="37">
                  <c:v>Jason Poe</c:v>
                </c:pt>
                <c:pt idx="38">
                  <c:v>Jay Slaughter</c:v>
                </c:pt>
                <c:pt idx="39">
                  <c:v>Art Menius</c:v>
                </c:pt>
                <c:pt idx="40">
                  <c:v>Jimmy McGuire</c:v>
                </c:pt>
                <c:pt idx="41">
                  <c:v>Joe McIntyer</c:v>
                </c:pt>
                <c:pt idx="42">
                  <c:v>Joe Ristiano</c:v>
                </c:pt>
                <c:pt idx="43">
                  <c:v>Joey Cabrera</c:v>
                </c:pt>
                <c:pt idx="44">
                  <c:v>John Kenlan</c:v>
                </c:pt>
                <c:pt idx="45">
                  <c:v>John Sanders</c:v>
                </c:pt>
                <c:pt idx="46">
                  <c:v>Josh Burns</c:v>
                </c:pt>
                <c:pt idx="47">
                  <c:v>Josh Edwards</c:v>
                </c:pt>
                <c:pt idx="48">
                  <c:v>Justin Hall</c:v>
                </c:pt>
                <c:pt idx="49">
                  <c:v>Keith McClintock</c:v>
                </c:pt>
                <c:pt idx="50">
                  <c:v>Kevin Stanley</c:v>
                </c:pt>
                <c:pt idx="51">
                  <c:v>Kevin Wicker</c:v>
                </c:pt>
              </c:strCache>
            </c:strRef>
          </c:cat>
          <c:val>
            <c:numRef>
              <c:f>'Total Wins'!$B$2:$B$53</c:f>
              <c:numCache>
                <c:formatCode>General</c:formatCode>
                <c:ptCount val="52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2.5</c:v>
                </c:pt>
                <c:pt idx="23">
                  <c:v>5.5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1.5</c:v>
                </c:pt>
                <c:pt idx="38">
                  <c:v>0</c:v>
                </c:pt>
                <c:pt idx="39">
                  <c:v>1</c:v>
                </c:pt>
                <c:pt idx="40">
                  <c:v>1.5</c:v>
                </c:pt>
                <c:pt idx="41">
                  <c:v>0</c:v>
                </c:pt>
                <c:pt idx="42">
                  <c:v>0.5</c:v>
                </c:pt>
                <c:pt idx="43">
                  <c:v>3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78-4649-B55B-AD38059C3B04}"/>
            </c:ext>
          </c:extLst>
        </c:ser>
        <c:ser>
          <c:idx val="2"/>
          <c:order val="2"/>
          <c:tx>
            <c:strRef>
              <c:f>'Total Wins'!$C$1</c:f>
              <c:strCache>
                <c:ptCount val="1"/>
                <c:pt idx="0">
                  <c:v>Times @ Tee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Wins'!$A$2:$A$53</c:f>
              <c:strCache>
                <c:ptCount val="52"/>
                <c:pt idx="0">
                  <c:v>Andrew George</c:v>
                </c:pt>
                <c:pt idx="1">
                  <c:v>Andrew Hahn</c:v>
                </c:pt>
                <c:pt idx="2">
                  <c:v>Andrew Quick</c:v>
                </c:pt>
                <c:pt idx="3">
                  <c:v>Andrew white</c:v>
                </c:pt>
                <c:pt idx="4">
                  <c:v>Art Menuis</c:v>
                </c:pt>
                <c:pt idx="5">
                  <c:v>Barb Doenges</c:v>
                </c:pt>
                <c:pt idx="6">
                  <c:v>Barry Perry</c:v>
                </c:pt>
                <c:pt idx="7">
                  <c:v>Beth Ruggles</c:v>
                </c:pt>
                <c:pt idx="8">
                  <c:v>Bill Elkins</c:v>
                </c:pt>
                <c:pt idx="9">
                  <c:v>Bill Stone</c:v>
                </c:pt>
                <c:pt idx="10">
                  <c:v>Bobby Wingate</c:v>
                </c:pt>
                <c:pt idx="11">
                  <c:v>Brad Grabarek</c:v>
                </c:pt>
                <c:pt idx="12">
                  <c:v>Braxton Hughes</c:v>
                </c:pt>
                <c:pt idx="13">
                  <c:v>Brett Dippolito</c:v>
                </c:pt>
                <c:pt idx="14">
                  <c:v>Brett Walters</c:v>
                </c:pt>
                <c:pt idx="15">
                  <c:v>Brian Satterfield</c:v>
                </c:pt>
                <c:pt idx="16">
                  <c:v>Caleb Rodgers</c:v>
                </c:pt>
                <c:pt idx="17">
                  <c:v>Chris Farrell</c:v>
                </c:pt>
                <c:pt idx="18">
                  <c:v>Colin White</c:v>
                </c:pt>
                <c:pt idx="19">
                  <c:v>Colt Westbrook</c:v>
                </c:pt>
                <c:pt idx="20">
                  <c:v>Dan O</c:v>
                </c:pt>
                <c:pt idx="21">
                  <c:v>Danny Williams</c:v>
                </c:pt>
                <c:pt idx="22">
                  <c:v>David Radford</c:v>
                </c:pt>
                <c:pt idx="23">
                  <c:v>Denis Hayes</c:v>
                </c:pt>
                <c:pt idx="24">
                  <c:v>Dick Pilotte</c:v>
                </c:pt>
                <c:pt idx="25">
                  <c:v>Douglass Mac</c:v>
                </c:pt>
                <c:pt idx="26">
                  <c:v>Drew Froman</c:v>
                </c:pt>
                <c:pt idx="27">
                  <c:v>Duane W</c:v>
                </c:pt>
                <c:pt idx="28">
                  <c:v>Evan W</c:v>
                </c:pt>
                <c:pt idx="29">
                  <c:v>Gerett Hudson</c:v>
                </c:pt>
                <c:pt idx="30">
                  <c:v>Graham Taylor</c:v>
                </c:pt>
                <c:pt idx="31">
                  <c:v>Greg Slaughter</c:v>
                </c:pt>
                <c:pt idx="32">
                  <c:v>Hudson Wilkins </c:v>
                </c:pt>
                <c:pt idx="33">
                  <c:v>Jake Howard</c:v>
                </c:pt>
                <c:pt idx="34">
                  <c:v>James D</c:v>
                </c:pt>
                <c:pt idx="35">
                  <c:v>Janet Upchurch</c:v>
                </c:pt>
                <c:pt idx="36">
                  <c:v>Jason Boucher</c:v>
                </c:pt>
                <c:pt idx="37">
                  <c:v>Jason Poe</c:v>
                </c:pt>
                <c:pt idx="38">
                  <c:v>Jay Slaughter</c:v>
                </c:pt>
                <c:pt idx="39">
                  <c:v>Art Menius</c:v>
                </c:pt>
                <c:pt idx="40">
                  <c:v>Jimmy McGuire</c:v>
                </c:pt>
                <c:pt idx="41">
                  <c:v>Joe McIntyer</c:v>
                </c:pt>
                <c:pt idx="42">
                  <c:v>Joe Ristiano</c:v>
                </c:pt>
                <c:pt idx="43">
                  <c:v>Joey Cabrera</c:v>
                </c:pt>
                <c:pt idx="44">
                  <c:v>John Kenlan</c:v>
                </c:pt>
                <c:pt idx="45">
                  <c:v>John Sanders</c:v>
                </c:pt>
                <c:pt idx="46">
                  <c:v>Josh Burns</c:v>
                </c:pt>
                <c:pt idx="47">
                  <c:v>Josh Edwards</c:v>
                </c:pt>
                <c:pt idx="48">
                  <c:v>Justin Hall</c:v>
                </c:pt>
                <c:pt idx="49">
                  <c:v>Keith McClintock</c:v>
                </c:pt>
                <c:pt idx="50">
                  <c:v>Kevin Stanley</c:v>
                </c:pt>
                <c:pt idx="51">
                  <c:v>Kevin Wicker</c:v>
                </c:pt>
              </c:strCache>
            </c:strRef>
          </c:cat>
          <c:val>
            <c:numRef>
              <c:f>'Total Wins'!$C$2:$C$53</c:f>
              <c:numCache>
                <c:formatCode>General</c:formatCode>
                <c:ptCount val="52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1</c:v>
                </c:pt>
                <c:pt idx="6">
                  <c:v>8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7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6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3</c:v>
                </c:pt>
                <c:pt idx="22">
                  <c:v>5</c:v>
                </c:pt>
                <c:pt idx="23">
                  <c:v>8</c:v>
                </c:pt>
                <c:pt idx="24">
                  <c:v>5</c:v>
                </c:pt>
                <c:pt idx="25">
                  <c:v>1</c:v>
                </c:pt>
                <c:pt idx="26">
                  <c:v>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4</c:v>
                </c:pt>
                <c:pt idx="38">
                  <c:v>1</c:v>
                </c:pt>
                <c:pt idx="39">
                  <c:v>9</c:v>
                </c:pt>
                <c:pt idx="40">
                  <c:v>7</c:v>
                </c:pt>
                <c:pt idx="41">
                  <c:v>2</c:v>
                </c:pt>
                <c:pt idx="42">
                  <c:v>1</c:v>
                </c:pt>
                <c:pt idx="43">
                  <c:v>5</c:v>
                </c:pt>
                <c:pt idx="44">
                  <c:v>1</c:v>
                </c:pt>
                <c:pt idx="45">
                  <c:v>0</c:v>
                </c:pt>
                <c:pt idx="46">
                  <c:v>8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78-4649-B55B-AD38059C3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1953407"/>
        <c:axId val="361954367"/>
        <c:axId val="0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'Total Wins'!$E$1</c15:sqref>
                        </c15:formulaRef>
                      </c:ext>
                    </c:extLst>
                    <c:strCache>
                      <c:ptCount val="1"/>
                      <c:pt idx="0">
                        <c:v>Avg NET Score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'Total Wins'!$A$2:$A$53</c15:sqref>
                        </c15:formulaRef>
                      </c:ext>
                    </c:extLst>
                    <c:strCache>
                      <c:ptCount val="52"/>
                      <c:pt idx="0">
                        <c:v>Andrew George</c:v>
                      </c:pt>
                      <c:pt idx="1">
                        <c:v>Andrew Hahn</c:v>
                      </c:pt>
                      <c:pt idx="2">
                        <c:v>Andrew Quick</c:v>
                      </c:pt>
                      <c:pt idx="3">
                        <c:v>Andrew white</c:v>
                      </c:pt>
                      <c:pt idx="4">
                        <c:v>Art Menuis</c:v>
                      </c:pt>
                      <c:pt idx="5">
                        <c:v>Barb Doenges</c:v>
                      </c:pt>
                      <c:pt idx="6">
                        <c:v>Barry Perry</c:v>
                      </c:pt>
                      <c:pt idx="7">
                        <c:v>Beth Ruggles</c:v>
                      </c:pt>
                      <c:pt idx="8">
                        <c:v>Bill Elkins</c:v>
                      </c:pt>
                      <c:pt idx="9">
                        <c:v>Bill Stone</c:v>
                      </c:pt>
                      <c:pt idx="10">
                        <c:v>Bobby Wingate</c:v>
                      </c:pt>
                      <c:pt idx="11">
                        <c:v>Brad Grabarek</c:v>
                      </c:pt>
                      <c:pt idx="12">
                        <c:v>Braxton Hughes</c:v>
                      </c:pt>
                      <c:pt idx="13">
                        <c:v>Brett Dippolito</c:v>
                      </c:pt>
                      <c:pt idx="14">
                        <c:v>Brett Walters</c:v>
                      </c:pt>
                      <c:pt idx="15">
                        <c:v>Brian Satterfield</c:v>
                      </c:pt>
                      <c:pt idx="16">
                        <c:v>Caleb Rodgers</c:v>
                      </c:pt>
                      <c:pt idx="17">
                        <c:v>Chris Farrell</c:v>
                      </c:pt>
                      <c:pt idx="18">
                        <c:v>Colin White</c:v>
                      </c:pt>
                      <c:pt idx="19">
                        <c:v>Colt Westbrook</c:v>
                      </c:pt>
                      <c:pt idx="20">
                        <c:v>Dan O</c:v>
                      </c:pt>
                      <c:pt idx="21">
                        <c:v>Danny Williams</c:v>
                      </c:pt>
                      <c:pt idx="22">
                        <c:v>David Radford</c:v>
                      </c:pt>
                      <c:pt idx="23">
                        <c:v>Denis Hayes</c:v>
                      </c:pt>
                      <c:pt idx="24">
                        <c:v>Dick Pilotte</c:v>
                      </c:pt>
                      <c:pt idx="25">
                        <c:v>Douglass Mac</c:v>
                      </c:pt>
                      <c:pt idx="26">
                        <c:v>Drew Froman</c:v>
                      </c:pt>
                      <c:pt idx="27">
                        <c:v>Duane W</c:v>
                      </c:pt>
                      <c:pt idx="28">
                        <c:v>Evan W</c:v>
                      </c:pt>
                      <c:pt idx="29">
                        <c:v>Gerett Hudson</c:v>
                      </c:pt>
                      <c:pt idx="30">
                        <c:v>Graham Taylor</c:v>
                      </c:pt>
                      <c:pt idx="31">
                        <c:v>Greg Slaughter</c:v>
                      </c:pt>
                      <c:pt idx="32">
                        <c:v>Hudson Wilkins </c:v>
                      </c:pt>
                      <c:pt idx="33">
                        <c:v>Jake Howard</c:v>
                      </c:pt>
                      <c:pt idx="34">
                        <c:v>James D</c:v>
                      </c:pt>
                      <c:pt idx="35">
                        <c:v>Janet Upchurch</c:v>
                      </c:pt>
                      <c:pt idx="36">
                        <c:v>Jason Boucher</c:v>
                      </c:pt>
                      <c:pt idx="37">
                        <c:v>Jason Poe</c:v>
                      </c:pt>
                      <c:pt idx="38">
                        <c:v>Jay Slaughter</c:v>
                      </c:pt>
                      <c:pt idx="39">
                        <c:v>Art Menius</c:v>
                      </c:pt>
                      <c:pt idx="40">
                        <c:v>Jimmy McGuire</c:v>
                      </c:pt>
                      <c:pt idx="41">
                        <c:v>Joe McIntyer</c:v>
                      </c:pt>
                      <c:pt idx="42">
                        <c:v>Joe Ristiano</c:v>
                      </c:pt>
                      <c:pt idx="43">
                        <c:v>Joey Cabrera</c:v>
                      </c:pt>
                      <c:pt idx="44">
                        <c:v>John Kenlan</c:v>
                      </c:pt>
                      <c:pt idx="45">
                        <c:v>John Sanders</c:v>
                      </c:pt>
                      <c:pt idx="46">
                        <c:v>Josh Burns</c:v>
                      </c:pt>
                      <c:pt idx="47">
                        <c:v>Josh Edwards</c:v>
                      </c:pt>
                      <c:pt idx="48">
                        <c:v>Justin Hall</c:v>
                      </c:pt>
                      <c:pt idx="49">
                        <c:v>Keith McClintock</c:v>
                      </c:pt>
                      <c:pt idx="50">
                        <c:v>Kevin Stanley</c:v>
                      </c:pt>
                      <c:pt idx="51">
                        <c:v>Kevin Wicker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'Total Wins'!$E$2:$E$90</c15:sqref>
                        </c15:formulaRef>
                      </c:ext>
                    </c:extLst>
                    <c:numCache>
                      <c:formatCode>0</c:formatCode>
                      <c:ptCount val="89"/>
                      <c:pt idx="0">
                        <c:v>3.6666666666666665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1.25</c:v>
                      </c:pt>
                      <c:pt idx="4">
                        <c:v>0</c:v>
                      </c:pt>
                      <c:pt idx="5">
                        <c:v>-1</c:v>
                      </c:pt>
                      <c:pt idx="6">
                        <c:v>2.875</c:v>
                      </c:pt>
                      <c:pt idx="7">
                        <c:v>0</c:v>
                      </c:pt>
                      <c:pt idx="8">
                        <c:v>5.5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0.8571428571428571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0.5</c:v>
                      </c:pt>
                      <c:pt idx="15">
                        <c:v>2</c:v>
                      </c:pt>
                      <c:pt idx="16">
                        <c:v>-1</c:v>
                      </c:pt>
                      <c:pt idx="17">
                        <c:v>-0.33333333333333331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3.3333333333333335</c:v>
                      </c:pt>
                      <c:pt idx="22">
                        <c:v>0.8</c:v>
                      </c:pt>
                      <c:pt idx="23">
                        <c:v>-0.5</c:v>
                      </c:pt>
                      <c:pt idx="24">
                        <c:v>1</c:v>
                      </c:pt>
                      <c:pt idx="25">
                        <c:v>5</c:v>
                      </c:pt>
                      <c:pt idx="26">
                        <c:v>3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-0.66666666666666663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7</c:v>
                      </c:pt>
                      <c:pt idx="36">
                        <c:v>0</c:v>
                      </c:pt>
                      <c:pt idx="37">
                        <c:v>-2.75</c:v>
                      </c:pt>
                      <c:pt idx="38">
                        <c:v>0</c:v>
                      </c:pt>
                      <c:pt idx="39">
                        <c:v>1.6666666666666667</c:v>
                      </c:pt>
                      <c:pt idx="40">
                        <c:v>0.8571428571428571</c:v>
                      </c:pt>
                      <c:pt idx="41">
                        <c:v>1.5</c:v>
                      </c:pt>
                      <c:pt idx="42">
                        <c:v>5</c:v>
                      </c:pt>
                      <c:pt idx="43">
                        <c:v>0.2</c:v>
                      </c:pt>
                      <c:pt idx="44">
                        <c:v>1</c:v>
                      </c:pt>
                      <c:pt idx="45">
                        <c:v>0</c:v>
                      </c:pt>
                      <c:pt idx="46">
                        <c:v>0.75</c:v>
                      </c:pt>
                      <c:pt idx="47">
                        <c:v>0</c:v>
                      </c:pt>
                      <c:pt idx="48">
                        <c:v>2.5</c:v>
                      </c:pt>
                      <c:pt idx="49">
                        <c:v>0</c:v>
                      </c:pt>
                      <c:pt idx="50">
                        <c:v>6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3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2</c:v>
                      </c:pt>
                      <c:pt idx="58">
                        <c:v>3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2.625</c:v>
                      </c:pt>
                      <c:pt idx="63">
                        <c:v>0</c:v>
                      </c:pt>
                      <c:pt idx="64">
                        <c:v>1.3333333333333333</c:v>
                      </c:pt>
                      <c:pt idx="65">
                        <c:v>2.125</c:v>
                      </c:pt>
                      <c:pt idx="66">
                        <c:v>3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3.3333333333333335</c:v>
                      </c:pt>
                      <c:pt idx="70">
                        <c:v>0</c:v>
                      </c:pt>
                      <c:pt idx="71">
                        <c:v>-2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4</c:v>
                      </c:pt>
                      <c:pt idx="75">
                        <c:v>4</c:v>
                      </c:pt>
                      <c:pt idx="76">
                        <c:v>3.5</c:v>
                      </c:pt>
                      <c:pt idx="77">
                        <c:v>1.3333333333333333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-1</c:v>
                      </c:pt>
                      <c:pt idx="81">
                        <c:v>3</c:v>
                      </c:pt>
                      <c:pt idx="82">
                        <c:v>0</c:v>
                      </c:pt>
                      <c:pt idx="83">
                        <c:v>1</c:v>
                      </c:pt>
                      <c:pt idx="84">
                        <c:v>0</c:v>
                      </c:pt>
                      <c:pt idx="85">
                        <c:v>1.25</c:v>
                      </c:pt>
                      <c:pt idx="86">
                        <c:v>0.5</c:v>
                      </c:pt>
                      <c:pt idx="87">
                        <c:v>0</c:v>
                      </c:pt>
                      <c:pt idx="8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FA78-4649-B55B-AD38059C3B04}"/>
                  </c:ext>
                </c:extLst>
              </c15:ser>
            </c15:filteredBarSeries>
          </c:ext>
        </c:extLst>
      </c:bar3DChart>
      <c:catAx>
        <c:axId val="361953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954367"/>
        <c:crosses val="autoZero"/>
        <c:auto val="1"/>
        <c:lblAlgn val="ctr"/>
        <c:lblOffset val="100"/>
        <c:noMultiLvlLbl val="0"/>
      </c:catAx>
      <c:valAx>
        <c:axId val="36195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95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39700">
        <a:schemeClr val="accent4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485774</xdr:colOff>
      <xdr:row>0</xdr:row>
      <xdr:rowOff>36510</xdr:rowOff>
    </xdr:from>
    <xdr:to>
      <xdr:col>17</xdr:col>
      <xdr:colOff>427036</xdr:colOff>
      <xdr:row>73</xdr:row>
      <xdr:rowOff>204107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CED2988-C9B8-A66B-7C0A-83546FFEC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85724</xdr:colOff>
      <xdr:row>1</xdr:row>
      <xdr:rowOff>0</xdr:rowOff>
    </xdr:from>
    <xdr:to>
      <xdr:col>34</xdr:col>
      <xdr:colOff>333375</xdr:colOff>
      <xdr:row>91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439F08-58F2-FD86-8708-F1CB3BA6A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BF13E7-5D76-4397-BD4A-CF16E3145206}" name="Table1" displayName="Table1" ref="A1:V157" totalsRowShown="0" headerRowDxfId="33">
  <autoFilter ref="A1:V157" xr:uid="{38BF13E7-5D76-4397-BD4A-CF16E3145206}"/>
  <tableColumns count="22">
    <tableColumn id="1" xr3:uid="{3AF8241F-A4A6-49D0-A795-F7ED270A7DD6}" name="Column1"/>
    <tableColumn id="2" xr3:uid="{7834C462-E9AC-41B7-836A-D8F4B27FEB0B}" name="Golfer1"/>
    <tableColumn id="3" xr3:uid="{B259D304-55FB-472D-8EED-799E7CF7A89D}" name="Score"/>
    <tableColumn id="21" xr3:uid="{DC8D9DD8-9479-4ED2-A35A-3FB7D50B7A0A}" name="2Pot1"/>
    <tableColumn id="4" xr3:uid="{52BC2C07-48B4-4E4C-A43A-EAA8A6BC0F0E}" name="Golfer2" dataDxfId="32"/>
    <tableColumn id="5" xr3:uid="{608A9F3A-453C-4D6D-98C7-1ACE2ED59370}" name="Score3"/>
    <tableColumn id="22" xr3:uid="{9B636DE5-BE73-42A0-A428-23C1DB1E00E2}" name="2Pot2"/>
    <tableColumn id="6" xr3:uid="{E6F62776-CC76-4FA1-A026-A9C97E3282A3}" name="Golfer3" dataDxfId="31"/>
    <tableColumn id="7" xr3:uid="{5795A9A5-E888-418B-9419-A4AB89AC8725}" name="Score 4"/>
    <tableColumn id="23" xr3:uid="{28383DAF-79F4-4457-9EA0-F8E66801E0DC}" name="2Pot3"/>
    <tableColumn id="8" xr3:uid="{F4942169-52BB-4EB7-BF05-BF607EB93A6B}" name="Golfer4" dataDxfId="30"/>
    <tableColumn id="13" xr3:uid="{2AEB9745-C7EA-4221-8008-C2AF6C7CC357}" name="Score 5"/>
    <tableColumn id="24" xr3:uid="{C1836AA8-7612-4F56-8B2D-B5CC35E89F64}" name="2Pot4"/>
    <tableColumn id="12" xr3:uid="{59CF55C1-F89A-4672-B648-BFC43583FC85}" name="Golfer5" dataDxfId="29"/>
    <tableColumn id="9" xr3:uid="{AE5AE758-9660-42F0-BF57-28501034DCDB}" name="Score 6"/>
    <tableColumn id="25" xr3:uid="{7DCE5FDD-F095-43BD-83DA-03FABE4F51CD}" name="2Pot5"/>
    <tableColumn id="16" xr3:uid="{887CEF4D-3894-401A-A624-90A8CE2A5467}" name="Golfer6" dataDxfId="28"/>
    <tableColumn id="15" xr3:uid="{29C3C5AB-51A8-4268-A523-5C4227AC9793}" name="Score 62"/>
    <tableColumn id="26" xr3:uid="{89CA940E-58A8-44BF-94EE-0A28511E6D44}" name="2Pot6"/>
    <tableColumn id="10" xr3:uid="{E2C7C3DE-E5EF-4460-9D51-72C01767AEDD}" name="Total " dataDxfId="27">
      <calculatedColumnFormula>SUM(C2,F2,I2,L2,O2,R2)</calculatedColumnFormula>
    </tableColumn>
    <tableColumn id="11" xr3:uid="{5E675C9D-38CD-4F76-A4C7-3E2638F11846}" name="Winners"/>
    <tableColumn id="14" xr3:uid="{9A22BF05-575B-4CC5-BF42-07EB2841DD3F}" name="2pot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28CAA5-8344-4A2C-B0C6-E02ACBDB4E96}" name="Table2" displayName="Table2" ref="X1:BJ95" totalsRowCount="1">
  <autoFilter ref="X1:BJ94" xr:uid="{0828CAA5-8344-4A2C-B0C6-E02ACBDB4E96}"/>
  <sortState xmlns:xlrd2="http://schemas.microsoft.com/office/spreadsheetml/2017/richdata2" ref="X2:BJ94">
    <sortCondition ref="X1:X94"/>
  </sortState>
  <tableColumns count="39">
    <tableColumn id="1" xr3:uid="{5656029D-01CC-4E6C-909B-9A472F1F027A}" name="Golfer" totalsRowLabel="guest 1" dataDxfId="26"/>
    <tableColumn id="57" xr3:uid="{57087183-1C70-4674-86C7-E66CB9FA236B}" name="2 Pot" dataDxfId="25"/>
    <tableColumn id="2" xr3:uid="{33712F80-A8F3-4B0D-9232-7362D9DD6B58}" name="Wins " dataDxfId="24" totalsRowDxfId="23"/>
    <tableColumn id="20" xr3:uid="{8C7CB8C2-BBD7-433D-BA98-AE62F92030AF}" name="Avg Score" dataDxfId="22" totalsRowDxfId="21">
      <calculatedColumnFormula>AVERAGE(Table2[[#This Row],[11-Mar]:[15-Jul]])</calculatedColumnFormula>
    </tableColumn>
    <tableColumn id="3" xr3:uid="{E6575482-81EE-478B-920F-E7799D374431}" name="11-Mar"/>
    <tableColumn id="4" xr3:uid="{BC506B47-37F6-41F4-BBF8-B52E1486FE3F}" name="18-Mar" totalsRowFunction="custom">
      <totalsRowFormula array="1">IFERROR(INDEX(CHOOSE(MATCH($X95,INDEX($B:$R,MATCH(AC$1,$A:$A,0),{1,4,7,10,13,16}),0),INDEX($C:$C,MATCH(AC$1,$A:$A,0)),INDEX($F:$F,MATCH(AC$1,$A:$A,0)),INDEX($I:$I,MATCH(AC$1,$A:$A,0)),INDEX($L:$L,MATCH(AC$1,$A:$A,0)),INDEX($O:$O,MATCH(AC$1,$A:$A,0)),INDEX($R:$R,MATCH(AC$1,$A:$A,0))),1),"")</totalsRowFormula>
    </tableColumn>
    <tableColumn id="5" xr3:uid="{715481D5-DC72-4A46-ABE1-FC4D2D7BA8F5}" name="25-Mar" totalsRowFunction="custom">
      <totalsRowFormula array="1">IFERROR(INDEX(CHOOSE(MATCH($X95,INDEX($B:$R,MATCH(AD$1,$A:$A,0),{1,4,7,10,13,16}),0),INDEX($C:$C,MATCH(AD$1,$A:$A,0)),INDEX($F:$F,MATCH(AD$1,$A:$A,0)),INDEX($I:$I,MATCH(AD$1,$A:$A,0)),INDEX($L:$L,MATCH(AD$1,$A:$A,0)),INDEX($O:$O,MATCH(AD$1,$A:$A,0)),INDEX($R:$R,MATCH(AD$1,$A:$A,0))),1),"")</totalsRowFormula>
    </tableColumn>
    <tableColumn id="6" xr3:uid="{4A1D91F6-3223-40A6-9130-B7565B61D717}" name="01-Apr" totalsRowFunction="custom" dataDxfId="20">
      <totalsRowFormula array="1">IFERROR(INDEX(CHOOSE(MATCH($X95,INDEX($B:$R,MATCH(AE$1,$A:$A,0),{1,4,7,10,13,16}),0),INDEX($C:$C,MATCH(AE$1,$A:$A,0)),INDEX($F:$F,MATCH(AE$1,$A:$A,0)),INDEX($I:$I,MATCH(AE$1,$A:$A,0)),INDEX($L:$L,MATCH(AE$1,$A:$A,0)),INDEX($O:$O,MATCH(AE$1,$A:$A,0)),INDEX($R:$R,MATCH(AE$1,$A:$A,0))),1),"")</totalsRowFormula>
    </tableColumn>
    <tableColumn id="7" xr3:uid="{C58B4902-6245-4AFA-86E5-3E4740FC71F7}" name="08-Apr" totalsRowFunction="custom">
      <totalsRowFormula array="1">IFERROR(INDEX(CHOOSE(MATCH($X95,INDEX($B:$R,MATCH(AF$1,$A:$A,0),{1,4,7,10,13,16}),0),INDEX($C:$C,MATCH(AF$1,$A:$A,0)),INDEX($F:$F,MATCH(AF$1,$A:$A,0)),INDEX($I:$I,MATCH(AF$1,$A:$A,0)),INDEX($L:$L,MATCH(AF$1,$A:$A,0)),INDEX($O:$O,MATCH(AF$1,$A:$A,0)),INDEX($R:$R,MATCH(AF$1,$A:$A,0))),1),"")</totalsRowFormula>
    </tableColumn>
    <tableColumn id="8" xr3:uid="{E75D72C2-23FF-4D2B-9A91-956711D04E1F}" name="15-Apr" totalsRowFunction="custom">
      <totalsRowFormula array="1">IFERROR(INDEX(CHOOSE(MATCH($X95,INDEX($B:$R,MATCH(AG$1,$A:$A,0),{1,4,7,10,13,16}),0),INDEX($C:$C,MATCH(AG$1,$A:$A,0)),INDEX($F:$F,MATCH(AG$1,$A:$A,0)),INDEX($I:$I,MATCH(AG$1,$A:$A,0)),INDEX($L:$L,MATCH(AG$1,$A:$A,0)),INDEX($O:$O,MATCH(AG$1,$A:$A,0)),INDEX($R:$R,MATCH(AG$1,$A:$A,0))),1),"")</totalsRowFormula>
    </tableColumn>
    <tableColumn id="9" xr3:uid="{06900321-6657-4DB2-9EDD-8074090A2CA1}" name="22-Apr" totalsRowFunction="custom">
      <totalsRowFormula array="1">IFERROR(INDEX(CHOOSE(MATCH($X95,INDEX($B:$R,MATCH(AH$1,$A:$A,0),{1,4,7,10,13,16}),0),INDEX($C:$C,MATCH(AH$1,$A:$A,0)),INDEX($F:$F,MATCH(AH$1,$A:$A,0)),INDEX($I:$I,MATCH(AH$1,$A:$A,0)),INDEX($L:$L,MATCH(AH$1,$A:$A,0)),INDEX($O:$O,MATCH(AH$1,$A:$A,0)),INDEX($R:$R,MATCH(AH$1,$A:$A,0))),1),"")</totalsRowFormula>
    </tableColumn>
    <tableColumn id="10" xr3:uid="{6739D6D9-EB5E-499E-B843-4A0B2C6B7167}" name="29-Apr" totalsRowFunction="custom">
      <totalsRowFormula array="1">IFERROR(INDEX(CHOOSE(MATCH($X95,INDEX($B:$R,MATCH(AI$1,$A:$A,0),{1,4,7,10,13,16}),0),INDEX($C:$C,MATCH(AI$1,$A:$A,0)),INDEX($F:$F,MATCH(AI$1,$A:$A,0)),INDEX($I:$I,MATCH(AI$1,$A:$A,0)),INDEX($L:$L,MATCH(AI$1,$A:$A,0)),INDEX($O:$O,MATCH(AI$1,$A:$A,0)),INDEX($R:$R,MATCH(AI$1,$A:$A,0))),1),"")</totalsRowFormula>
    </tableColumn>
    <tableColumn id="11" xr3:uid="{16FF3475-5159-4E26-883A-4677541D8DA3}" name="06-May" totalsRowFunction="custom">
      <totalsRowFormula array="1">IFERROR(INDEX(CHOOSE(MATCH($X95,INDEX($B:$R,MATCH(AJ$1,$A:$A,0),{1,4,7,10,13,16}),0),INDEX($C:$C,MATCH(AJ$1,$A:$A,0)),INDEX($F:$F,MATCH(AJ$1,$A:$A,0)),INDEX($I:$I,MATCH(AJ$1,$A:$A,0)),INDEX($L:$L,MATCH(AJ$1,$A:$A,0)),INDEX($O:$O,MATCH(AJ$1,$A:$A,0)),INDEX($R:$R,MATCH(AJ$1,$A:$A,0))),1),"")</totalsRowFormula>
    </tableColumn>
    <tableColumn id="12" xr3:uid="{82F28C2C-C59B-4FC7-9837-199F81D20A2E}" name="13-May" totalsRowFunction="custom" dataDxfId="19">
      <totalsRowFormula array="1">IFERROR(INDEX(CHOOSE(MATCH($X95,INDEX($B:$R,MATCH(AK$1,$A:$A,0),{1,4,7,10,13,16}),0),INDEX($C:$C,MATCH(AK$1,$A:$A,0)),INDEX($F:$F,MATCH(AK$1,$A:$A,0)),INDEX($I:$I,MATCH(AK$1,$A:$A,0)),INDEX($L:$L,MATCH(AK$1,$A:$A,0)),INDEX($O:$O,MATCH(AK$1,$A:$A,0)),INDEX($R:$R,MATCH(AK$1,$A:$A,0))),1),"")</totalsRowFormula>
    </tableColumn>
    <tableColumn id="13" xr3:uid="{670C3330-0356-4329-B517-C70E6ECE3FDE}" name="20-May" totalsRowFunction="custom">
      <totalsRowFormula array="1">IFERROR(INDEX(CHOOSE(MATCH($X95,INDEX($B:$R,MATCH(AL$1,$A:$A,0),{1,4,7,10,13,16}),0),INDEX($C:$C,MATCH(AL$1,$A:$A,0)),INDEX($F:$F,MATCH(AL$1,$A:$A,0)),INDEX($I:$I,MATCH(AL$1,$A:$A,0)),INDEX($L:$L,MATCH(AL$1,$A:$A,0)),INDEX($O:$O,MATCH(AL$1,$A:$A,0)),INDEX($R:$R,MATCH(AL$1,$A:$A,0))),1),"")</totalsRowFormula>
    </tableColumn>
    <tableColumn id="14" xr3:uid="{773D15BE-0011-4C02-8731-D34E8A78A408}" name="27-May" totalsRowFunction="custom">
      <totalsRowFormula array="1">IFERROR(INDEX(CHOOSE(MATCH($X95,INDEX($B:$R,MATCH(AM$1,$A:$A,0),{1,4,7,10,13,16}),0),INDEX($C:$C,MATCH(AM$1,$A:$A,0)),INDEX($F:$F,MATCH(AM$1,$A:$A,0)),INDEX($I:$I,MATCH(AM$1,$A:$A,0)),INDEX($L:$L,MATCH(AM$1,$A:$A,0)),INDEX($O:$O,MATCH(AM$1,$A:$A,0)),INDEX($R:$R,MATCH(AM$1,$A:$A,0))),1),"")</totalsRowFormula>
    </tableColumn>
    <tableColumn id="15" xr3:uid="{3DC7E9BF-0AB4-4B01-AEAA-FF42786B09C3}" name="03-Jun" totalsRowFunction="custom">
      <totalsRowFormula array="1">IFERROR(INDEX(CHOOSE(MATCH($X95,INDEX($B:$R,MATCH(AN$1,$A:$A,0),{1,4,7,10,13,16}),0),INDEX($C:$C,MATCH(AN$1,$A:$A,0)),INDEX($F:$F,MATCH(AN$1,$A:$A,0)),INDEX($I:$I,MATCH(AN$1,$A:$A,0)),INDEX($L:$L,MATCH(AN$1,$A:$A,0)),INDEX($O:$O,MATCH(AN$1,$A:$A,0)),INDEX($R:$R,MATCH(AN$1,$A:$A,0))),1),"")</totalsRowFormula>
    </tableColumn>
    <tableColumn id="16" xr3:uid="{A6C242B9-8F4F-4C62-BDE6-4221F38578A7}" name="10-Jun" totalsRowFunction="custom">
      <totalsRowFormula array="1">IFERROR(INDEX(CHOOSE(MATCH($X95,INDEX($B:$R,MATCH(AO$1,$A:$A,0),{1,4,7,10,13,16}),0),INDEX($C:$C,MATCH(AO$1,$A:$A,0)),INDEX($F:$F,MATCH(AO$1,$A:$A,0)),INDEX($I:$I,MATCH(AO$1,$A:$A,0)),INDEX($L:$L,MATCH(AO$1,$A:$A,0)),INDEX($O:$O,MATCH(AO$1,$A:$A,0)),INDEX($R:$R,MATCH(AO$1,$A:$A,0))),1),"")</totalsRowFormula>
    </tableColumn>
    <tableColumn id="17" xr3:uid="{F4483F05-7071-4223-9AD5-469AF7F676D1}" name="17-Jun" totalsRowFunction="custom">
      <totalsRowFormula array="1">IFERROR(INDEX(CHOOSE(MATCH($X95,INDEX($B:$R,MATCH(AP$1,$A:$A,0),{1,4,7,10,13,16}),0),INDEX($C:$C,MATCH(AP$1,$A:$A,0)),INDEX($F:$F,MATCH(AP$1,$A:$A,0)),INDEX($I:$I,MATCH(AP$1,$A:$A,0)),INDEX($L:$L,MATCH(AP$1,$A:$A,0)),INDEX($O:$O,MATCH(AP$1,$A:$A,0)),INDEX($R:$R,MATCH(AP$1,$A:$A,0))),1),"")</totalsRowFormula>
    </tableColumn>
    <tableColumn id="18" xr3:uid="{E3868396-725F-4A76-8FA4-FD74409695A7}" name="24-Jun" totalsRowFunction="custom">
      <totalsRowFormula array="1">IFERROR(INDEX(CHOOSE(MATCH($X95,INDEX($B:$R,MATCH(AQ$1,$A:$A,0),{1,4,7,10,13,16}),0),INDEX($C:$C,MATCH(AQ$1,$A:$A,0)),INDEX($F:$F,MATCH(AQ$1,$A:$A,0)),INDEX($I:$I,MATCH(AQ$1,$A:$A,0)),INDEX($L:$L,MATCH(AQ$1,$A:$A,0)),INDEX($O:$O,MATCH(AQ$1,$A:$A,0)),INDEX($R:$R,MATCH(AQ$1,$A:$A,0))),1),"")</totalsRowFormula>
    </tableColumn>
    <tableColumn id="23" xr3:uid="{D1C5C6E1-7858-4CCE-94B2-75E2639C51BC}" name="01-Jul" totalsRowFunction="custom">
      <totalsRowFormula array="1">IFERROR(INDEX(CHOOSE(MATCH($X95,INDEX($B:$R,MATCH(AR$1,$A:$A,0),{1,4,7,10,13,16}),0),INDEX($C:$C,MATCH(AR$1,$A:$A,0)),INDEX($F:$F,MATCH(AR$1,$A:$A,0)),INDEX($I:$I,MATCH(AR$1,$A:$A,0)),INDEX($L:$L,MATCH(AR$1,$A:$A,0)),INDEX($O:$O,MATCH(AR$1,$A:$A,0)),INDEX($R:$R,MATCH(AR$1,$A:$A,0))),1),"")</totalsRowFormula>
    </tableColumn>
    <tableColumn id="24" xr3:uid="{6458D8DB-C25F-4F3D-AF8B-C4DDF16CAE19}" name="08-Jul" totalsRowFunction="custom">
      <totalsRowFormula array="1">IFERROR(INDEX(CHOOSE(MATCH($X95,INDEX($B:$R,MATCH(AS$1,$A:$A,0),{1,4,7,10,13,16}),0),INDEX($C:$C,MATCH(AS$1,$A:$A,0)),INDEX($F:$F,MATCH(AS$1,$A:$A,0)),INDEX($I:$I,MATCH(AS$1,$A:$A,0)),INDEX($L:$L,MATCH(AS$1,$A:$A,0)),INDEX($O:$O,MATCH(AS$1,$A:$A,0)),INDEX($R:$R,MATCH(AS$1,$A:$A,0))),1),"")</totalsRowFormula>
    </tableColumn>
    <tableColumn id="22" xr3:uid="{3E41C9FF-1E6F-46CE-A28F-32990A385995}" name="15-Jul" totalsRowFunction="custom">
      <totalsRowFormula array="1">IFERROR(INDEX(CHOOSE(MATCH($X95,INDEX($B:$R,MATCH(AT$1,$A:$A,0),{1,4,7,10,13,16}),0),INDEX($C:$C,MATCH(AT$1,$A:$A,0)),INDEX($F:$F,MATCH(AT$1,$A:$A,0)),INDEX($I:$I,MATCH(AT$1,$A:$A,0)),INDEX($L:$L,MATCH(AT$1,$A:$A,0)),INDEX($O:$O,MATCH(AT$1,$A:$A,0)),INDEX($R:$R,MATCH(AT$1,$A:$A,0))),1),"")</totalsRowFormula>
    </tableColumn>
    <tableColumn id="46" xr3:uid="{C422B2B7-EF3F-44DF-AA16-F309685BDB01}" name="22-Jul" totalsRowFunction="custom">
      <totalsRowFormula array="1">IFERROR(INDEX(CHOOSE(MATCH($X95,INDEX($B:$R,MATCH(AU$1,$A:$A,0),{1,4,7,10,13,16}),0),INDEX($C:$C,MATCH(AU$1,$A:$A,0)),INDEX($F:$F,MATCH(AU$1,$A:$A,0)),INDEX($I:$I,MATCH(AU$1,$A:$A,0)),INDEX($L:$L,MATCH(AU$1,$A:$A,0)),INDEX($O:$O,MATCH(AU$1,$A:$A,0)),INDEX($R:$R,MATCH(AU$1,$A:$A,0))),1),"")</totalsRowFormula>
    </tableColumn>
    <tableColumn id="47" xr3:uid="{A2965395-B5B2-434A-97FC-DDEAE57F5FA3}" name="29-Jul" totalsRowFunction="custom">
      <totalsRowFormula array="1">IFERROR(INDEX(CHOOSE(MATCH($X95,INDEX($B:$R,MATCH(AV$1,$A:$A,0),{1,4,7,10,13,16}),0),INDEX($C:$C,MATCH(AV$1,$A:$A,0)),INDEX($F:$F,MATCH(AV$1,$A:$A,0)),INDEX($I:$I,MATCH(AV$1,$A:$A,0)),INDEX($L:$L,MATCH(AV$1,$A:$A,0)),INDEX($O:$O,MATCH(AV$1,$A:$A,0)),INDEX($R:$R,MATCH(AV$1,$A:$A,0))),1),"")</totalsRowFormula>
    </tableColumn>
    <tableColumn id="48" xr3:uid="{8DAA7DD7-FC9F-4B90-8FEA-DE219B522C0B}" name="05-Aug" totalsRowFunction="custom">
      <totalsRowFormula array="1">IFERROR(INDEX(CHOOSE(MATCH($X95,INDEX($B:$R,MATCH(AW$1,$A:$A,0),{1,4,7,10,13,16}),0),INDEX($C:$C,MATCH(AW$1,$A:$A,0)),INDEX($F:$F,MATCH(AW$1,$A:$A,0)),INDEX($I:$I,MATCH(AW$1,$A:$A,0)),INDEX($L:$L,MATCH(AW$1,$A:$A,0)),INDEX($O:$O,MATCH(AW$1,$A:$A,0)),INDEX($R:$R,MATCH(AW$1,$A:$A,0))),1),"")</totalsRowFormula>
    </tableColumn>
    <tableColumn id="49" xr3:uid="{1532B7F1-D099-40B2-B107-7638527E98FA}" name="12-Aug" totalsRowFunction="custom">
      <totalsRowFormula array="1">IFERROR(INDEX(CHOOSE(MATCH($X95,INDEX($B:$R,MATCH(AX$1,$A:$A,0),{1,4,7,10,13,16}),0),INDEX($C:$C,MATCH(AX$1,$A:$A,0)),INDEX($F:$F,MATCH(AX$1,$A:$A,0)),INDEX($I:$I,MATCH(AX$1,$A:$A,0)),INDEX($L:$L,MATCH(AX$1,$A:$A,0)),INDEX($O:$O,MATCH(AX$1,$A:$A,0)),INDEX($R:$R,MATCH(AX$1,$A:$A,0))),1),"")</totalsRowFormula>
    </tableColumn>
    <tableColumn id="50" xr3:uid="{DA487ACC-0F22-4F7F-BE96-E6165A6B97FE}" name="19-Aug" totalsRowFunction="custom">
      <totalsRowFormula array="1">IFERROR(INDEX(CHOOSE(MATCH($X95,INDEX($B:$R,MATCH(AY$1,$A:$A,0),{1,4,7,10,13,16}),0),INDEX($C:$C,MATCH(AY$1,$A:$A,0)),INDEX($F:$F,MATCH(AY$1,$A:$A,0)),INDEX($I:$I,MATCH(AY$1,$A:$A,0)),INDEX($L:$L,MATCH(AY$1,$A:$A,0)),INDEX($O:$O,MATCH(AY$1,$A:$A,0)),INDEX($R:$R,MATCH(AY$1,$A:$A,0))),1),"")</totalsRowFormula>
    </tableColumn>
    <tableColumn id="51" xr3:uid="{4F9808B1-6BD8-4138-86C0-2D8DFB1822D4}" name="26-Aug" totalsRowFunction="custom">
      <totalsRowFormula array="1">IFERROR(INDEX(CHOOSE(MATCH($X95,INDEX($B:$R,MATCH(AZ$1,$A:$A,0),{1,4,7,10,13,16}),0),INDEX($C:$C,MATCH(AZ$1,$A:$A,0)),INDEX($F:$F,MATCH(AZ$1,$A:$A,0)),INDEX($I:$I,MATCH(AZ$1,$A:$A,0)),INDEX($L:$L,MATCH(AZ$1,$A:$A,0)),INDEX($O:$O,MATCH(AZ$1,$A:$A,0)),INDEX($R:$R,MATCH(AZ$1,$A:$A,0))),1),"")</totalsRowFormula>
    </tableColumn>
    <tableColumn id="52" xr3:uid="{2F2CDD3C-5B55-438C-97B7-81BFDD1D5F07}" name="02-Sep" totalsRowFunction="custom">
      <totalsRowFormula array="1">IFERROR(INDEX(CHOOSE(MATCH($X95,INDEX($B:$R,MATCH(BA$1,$A:$A,0),{1,4,7,10,13,16}),0),INDEX($C:$C,MATCH(BA$1,$A:$A,0)),INDEX($F:$F,MATCH(BA$1,$A:$A,0)),INDEX($I:$I,MATCH(BA$1,$A:$A,0)),INDEX($L:$L,MATCH(BA$1,$A:$A,0)),INDEX($O:$O,MATCH(BA$1,$A:$A,0)),INDEX($R:$R,MATCH(BA$1,$A:$A,0))),1),"")</totalsRowFormula>
    </tableColumn>
    <tableColumn id="53" xr3:uid="{699C9644-7237-403E-A064-44B2C568105A}" name="09-Sep" totalsRowFunction="custom">
      <totalsRowFormula array="1">IFERROR(INDEX(CHOOSE(MATCH($X95,INDEX($B:$R,MATCH(BB$1,$A:$A,0),{1,4,7,10,13,16}),0),INDEX($C:$C,MATCH(BB$1,$A:$A,0)),INDEX($F:$F,MATCH(BB$1,$A:$A,0)),INDEX($I:$I,MATCH(BB$1,$A:$A,0)),INDEX($L:$L,MATCH(BB$1,$A:$A,0)),INDEX($O:$O,MATCH(BB$1,$A:$A,0)),INDEX($R:$R,MATCH(BB$1,$A:$A,0))),1),"")</totalsRowFormula>
    </tableColumn>
    <tableColumn id="42" xr3:uid="{ED559270-01AD-40CA-9AC5-9B865DE7926F}" name="16-Sep" totalsRowFunction="custom">
      <totalsRowFormula array="1">IFERROR(INDEX(CHOOSE(MATCH($X95,INDEX($B:$R,MATCH(BC$1,$A:$A,0),{1,4,7,10,13,16}),0),INDEX($C:$C,MATCH(BC$1,$A:$A,0)),INDEX($F:$F,MATCH(BC$1,$A:$A,0)),INDEX($I:$I,MATCH(BC$1,$A:$A,0)),INDEX($L:$L,MATCH(BC$1,$A:$A,0)),INDEX($O:$O,MATCH(BC$1,$A:$A,0)),INDEX($R:$R,MATCH(BC$1,$A:$A,0))),1),"")</totalsRowFormula>
    </tableColumn>
    <tableColumn id="43" xr3:uid="{F832C221-BE06-48F4-820C-E01711DCDA8A}" name="23-Sep" totalsRowFunction="custom">
      <totalsRowFormula array="1">IFERROR(INDEX(CHOOSE(MATCH($X95,INDEX($B:$R,MATCH(BD$1,$A:$A,0),{1,4,7,10,13,16}),0),INDEX($C:$C,MATCH(BD$1,$A:$A,0)),INDEX($F:$F,MATCH(BD$1,$A:$A,0)),INDEX($I:$I,MATCH(BD$1,$A:$A,0)),INDEX($L:$L,MATCH(BD$1,$A:$A,0)),INDEX($O:$O,MATCH(BD$1,$A:$A,0)),INDEX($R:$R,MATCH(BD$1,$A:$A,0))),1),"")</totalsRowFormula>
    </tableColumn>
    <tableColumn id="44" xr3:uid="{ACADE003-8EE8-46BA-BA98-359E9E5BC0AC}" name="30-Sep" totalsRowFunction="custom">
      <totalsRowFormula array="1">IFERROR(INDEX(CHOOSE(MATCH($X95,INDEX($B:$R,MATCH(BE$1,$A:$A,0),{1,4,7,10,13,16}),0),INDEX($C:$C,MATCH(BE$1,$A:$A,0)),INDEX($F:$F,MATCH(BE$1,$A:$A,0)),INDEX($I:$I,MATCH(BE$1,$A:$A,0)),INDEX($L:$L,MATCH(BE$1,$A:$A,0)),INDEX($O:$O,MATCH(BE$1,$A:$A,0)),INDEX($R:$R,MATCH(BE$1,$A:$A,0))),1),"")</totalsRowFormula>
    </tableColumn>
    <tableColumn id="45" xr3:uid="{23344E3E-0FCA-4C3C-9F39-4AFA5B5DA54E}" name="07-Oct" totalsRowFunction="custom">
      <totalsRowFormula array="1">IFERROR(INDEX(CHOOSE(MATCH($X95,INDEX($B:$R,MATCH(BF$1,$A:$A,0),{1,4,7,10,13,16}),0),INDEX($C:$C,MATCH(BF$1,$A:$A,0)),INDEX($F:$F,MATCH(BF$1,$A:$A,0)),INDEX($I:$I,MATCH(BF$1,$A:$A,0)),INDEX($L:$L,MATCH(BF$1,$A:$A,0)),INDEX($O:$O,MATCH(BF$1,$A:$A,0)),INDEX($R:$R,MATCH(BF$1,$A:$A,0))),1),"")</totalsRowFormula>
    </tableColumn>
    <tableColumn id="40" xr3:uid="{A9A3106E-A5D2-4B8F-B7A5-65DD12351F80}" name="14-Oct" totalsRowFunction="custom">
      <totalsRowFormula array="1">IFERROR(INDEX(CHOOSE(MATCH($X95,INDEX($B:$R,MATCH(BG$1,$A:$A,0),{1,4,7,10,13,16}),0),INDEX($C:$C,MATCH(BG$1,$A:$A,0)),INDEX($F:$F,MATCH(BG$1,$A:$A,0)),INDEX($I:$I,MATCH(BG$1,$A:$A,0)),INDEX($L:$L,MATCH(BG$1,$A:$A,0)),INDEX($O:$O,MATCH(BG$1,$A:$A,0)),INDEX($R:$R,MATCH(BG$1,$A:$A,0))),1),"")</totalsRowFormula>
    </tableColumn>
    <tableColumn id="54" xr3:uid="{1E835546-CC77-44FB-A206-C3D65527A522}" name="Column33"/>
    <tableColumn id="19" xr3:uid="{65918298-DC7D-4E04-AC92-1F67A76149D9}" name="Average " dataDxfId="18" totalsRowDxfId="17">
      <calculatedColumnFormula>AVERAGE(Table2[[#This Row],[11-Mar]:[24-Jun]])</calculatedColumnFormula>
    </tableColumn>
    <tableColumn id="21" xr3:uid="{6294E62B-7923-4916-9A60-99EE39091F81}" name="number of rounds" dataDxfId="16">
      <calculatedColumnFormula>COUNT(Table2[[#This Row],[11-Mar]:[Column33]])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C70A5D-6B84-4387-AEAE-CB1DA8C0196D}" name="Table3" displayName="Table3" ref="A1:E91" totalsRowCount="1" headerRowDxfId="15" tableBorderDxfId="14">
  <autoFilter ref="A1:E90" xr:uid="{E4C70A5D-6B84-4387-AEAE-CB1DA8C0196D}"/>
  <sortState xmlns:xlrd2="http://schemas.microsoft.com/office/spreadsheetml/2017/richdata2" ref="A2:E82">
    <sortCondition ref="E1:E82"/>
  </sortState>
  <tableColumns count="5">
    <tableColumn id="1" xr3:uid="{A95ACC15-4257-4B5B-809A-A342E98275C9}" name="Golfer" dataDxfId="13" totalsRowDxfId="12">
      <calculatedColumnFormula>Table2[[#This Row],[Golfer]]</calculatedColumnFormula>
    </tableColumn>
    <tableColumn id="2" xr3:uid="{FF69BD9B-D43D-48AB-ADD7-A191C984280D}" name="Wins " dataDxfId="11" totalsRowDxfId="10">
      <calculatedColumnFormula>SUM(Table2[[#This Row],[Wins ]])</calculatedColumnFormula>
    </tableColumn>
    <tableColumn id="4" xr3:uid="{AC1B48CA-8BE1-40DF-B771-21F32371C651}" name="Times @ Tee" totalsRowFunction="custom" dataDxfId="9" totalsRowDxfId="8">
      <calculatedColumnFormula>SUM(Table2[[#This Row],[number of rounds]])</calculatedColumnFormula>
      <totalsRowFormula>SUM(C2:C90)</totalsRowFormula>
    </tableColumn>
    <tableColumn id="5" xr3:uid="{46BAED46-B14D-4DC9-B20E-3965500DC78C}" name="2Pot" dataDxfId="7" totalsRowDxfId="6">
      <calculatedColumnFormula>SUM(Table2[[#This Row],[2 Pot]])</calculatedColumnFormula>
    </tableColumn>
    <tableColumn id="3" xr3:uid="{8EAAB6CC-373B-41C3-9E11-626B39F4890B}" name="Avg NET Score" dataDxfId="5" totalsRowDxfId="4">
      <calculatedColumnFormula>AVERAGE(Table2[[#This Row],[11-Mar]:[15-Jul]])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A25A3D-A47C-40D3-8121-96E0DF6BF6E7}" name="Table4" displayName="Table4" ref="A1:B83" totalsRowShown="0" headerRowDxfId="3" tableBorderDxfId="2">
  <autoFilter ref="A1:B83" xr:uid="{8FA25A3D-A47C-40D3-8121-96E0DF6BF6E7}"/>
  <sortState xmlns:xlrd2="http://schemas.microsoft.com/office/spreadsheetml/2017/richdata2" ref="A8:B63">
    <sortCondition descending="1" ref="B1:B83"/>
  </sortState>
  <tableColumns count="2">
    <tableColumn id="1" xr3:uid="{470B2B7E-560D-4F3F-A6F3-C286DBA1A8D5}" name="Golfer" dataDxfId="1">
      <calculatedColumnFormula>Table2[[#This Row],[Golfer]]</calculatedColumnFormula>
    </tableColumn>
    <tableColumn id="2" xr3:uid="{60F2A4D1-6EF3-42EF-995D-742E4BA5E86F}" name="2 Pot" dataDxfId="0">
      <calculatedColumnFormula>SUM(Table2[[#This Row],[2 Pot]])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6548-ABA5-453D-AABA-3F594CD645C7}">
  <dimension ref="A1:BJ157"/>
  <sheetViews>
    <sheetView tabSelected="1" topLeftCell="A40" workbookViewId="0">
      <selection activeCell="N64" sqref="N64"/>
    </sheetView>
  </sheetViews>
  <sheetFormatPr defaultRowHeight="14.25" x14ac:dyDescent="0.45"/>
  <cols>
    <col min="1" max="1" width="11.265625" bestFit="1" customWidth="1"/>
    <col min="2" max="2" width="12" bestFit="1" customWidth="1"/>
    <col min="3" max="3" width="6.73046875" customWidth="1"/>
    <col min="4" max="4" width="7.86328125" bestFit="1" customWidth="1"/>
    <col min="5" max="5" width="13.3984375" bestFit="1" customWidth="1"/>
    <col min="6" max="6" width="5.3984375" customWidth="1"/>
    <col min="7" max="7" width="8.86328125" bestFit="1" customWidth="1"/>
    <col min="8" max="8" width="14" bestFit="1" customWidth="1"/>
    <col min="9" max="9" width="4" customWidth="1"/>
    <col min="10" max="10" width="5" customWidth="1"/>
    <col min="11" max="11" width="13.265625" bestFit="1" customWidth="1"/>
    <col min="12" max="13" width="3.86328125" customWidth="1"/>
    <col min="14" max="14" width="12.1328125" customWidth="1"/>
    <col min="15" max="16" width="4.59765625" customWidth="1"/>
    <col min="17" max="17" width="13.3984375" bestFit="1" customWidth="1"/>
    <col min="18" max="19" width="4.3984375" customWidth="1"/>
    <col min="21" max="21" width="10.59765625" customWidth="1"/>
    <col min="22" max="22" width="7.73046875" customWidth="1"/>
    <col min="23" max="23" width="1.73046875" customWidth="1"/>
    <col min="24" max="24" width="13.59765625" bestFit="1" customWidth="1"/>
    <col min="25" max="25" width="8.1328125" bestFit="1" customWidth="1"/>
    <col min="26" max="26" width="10.59765625" customWidth="1"/>
    <col min="27" max="27" width="10.59765625" style="4" customWidth="1"/>
    <col min="28" max="31" width="9.1328125" hidden="1" customWidth="1"/>
    <col min="32" max="36" width="9" hidden="1" customWidth="1"/>
    <col min="37" max="44" width="9" customWidth="1"/>
    <col min="45" max="57" width="9.06640625" customWidth="1"/>
    <col min="61" max="61" width="9.1328125" style="4"/>
    <col min="62" max="62" width="9" customWidth="1"/>
  </cols>
  <sheetData>
    <row r="1" spans="1:62" x14ac:dyDescent="0.45">
      <c r="A1" t="s">
        <v>110</v>
      </c>
      <c r="B1" s="2" t="s">
        <v>0</v>
      </c>
      <c r="C1" s="3" t="s">
        <v>1</v>
      </c>
      <c r="D1" s="9" t="s">
        <v>2</v>
      </c>
      <c r="E1" s="2" t="s">
        <v>3</v>
      </c>
      <c r="F1" s="3" t="s">
        <v>4</v>
      </c>
      <c r="G1" s="9" t="s">
        <v>5</v>
      </c>
      <c r="H1" s="2" t="s">
        <v>6</v>
      </c>
      <c r="I1" s="3" t="s">
        <v>7</v>
      </c>
      <c r="J1" s="9" t="s">
        <v>8</v>
      </c>
      <c r="K1" s="2" t="s">
        <v>9</v>
      </c>
      <c r="L1" s="9" t="s">
        <v>10</v>
      </c>
      <c r="M1" s="9" t="s">
        <v>11</v>
      </c>
      <c r="N1" s="9" t="s">
        <v>12</v>
      </c>
      <c r="O1" s="3" t="s">
        <v>13</v>
      </c>
      <c r="P1" s="9" t="s">
        <v>14</v>
      </c>
      <c r="Q1" s="3" t="s">
        <v>15</v>
      </c>
      <c r="R1" s="3" t="s">
        <v>16</v>
      </c>
      <c r="S1" s="9" t="s">
        <v>17</v>
      </c>
      <c r="T1" s="3" t="s">
        <v>18</v>
      </c>
      <c r="U1" t="s">
        <v>19</v>
      </c>
      <c r="V1" s="6" t="s">
        <v>20</v>
      </c>
      <c r="X1" t="s">
        <v>21</v>
      </c>
      <c r="Y1" t="s">
        <v>22</v>
      </c>
      <c r="Z1" s="5" t="s">
        <v>23</v>
      </c>
      <c r="AA1" s="8" t="s">
        <v>24</v>
      </c>
      <c r="AB1" s="35" t="s">
        <v>111</v>
      </c>
      <c r="AC1" s="35" t="s">
        <v>112</v>
      </c>
      <c r="AD1" s="35" t="s">
        <v>113</v>
      </c>
      <c r="AE1" s="35" t="s">
        <v>115</v>
      </c>
      <c r="AF1" s="35" t="s">
        <v>116</v>
      </c>
      <c r="AG1" s="35" t="s">
        <v>117</v>
      </c>
      <c r="AH1" s="35" t="s">
        <v>118</v>
      </c>
      <c r="AI1" s="35" t="s">
        <v>119</v>
      </c>
      <c r="AJ1" s="35" t="s">
        <v>120</v>
      </c>
      <c r="AK1" s="35" t="s">
        <v>121</v>
      </c>
      <c r="AL1" s="35" t="s">
        <v>122</v>
      </c>
      <c r="AM1" s="35" t="s">
        <v>123</v>
      </c>
      <c r="AN1" s="35" t="s">
        <v>124</v>
      </c>
      <c r="AO1" s="35" t="s">
        <v>125</v>
      </c>
      <c r="AP1" s="35" t="s">
        <v>126</v>
      </c>
      <c r="AQ1" s="35" t="s">
        <v>127</v>
      </c>
      <c r="AR1" s="35" t="s">
        <v>128</v>
      </c>
      <c r="AS1" s="35" t="s">
        <v>129</v>
      </c>
      <c r="AT1" s="35" t="s">
        <v>130</v>
      </c>
      <c r="AU1" s="35" t="s">
        <v>131</v>
      </c>
      <c r="AV1" s="35" t="s">
        <v>132</v>
      </c>
      <c r="AW1" s="35" t="s">
        <v>133</v>
      </c>
      <c r="AX1" s="35" t="s">
        <v>134</v>
      </c>
      <c r="AY1" s="35" t="s">
        <v>135</v>
      </c>
      <c r="AZ1" s="35" t="s">
        <v>136</v>
      </c>
      <c r="BA1" s="35" t="s">
        <v>137</v>
      </c>
      <c r="BB1" s="35" t="s">
        <v>138</v>
      </c>
      <c r="BC1" s="35" t="s">
        <v>139</v>
      </c>
      <c r="BD1" s="35" t="s">
        <v>140</v>
      </c>
      <c r="BE1" s="35" t="s">
        <v>141</v>
      </c>
      <c r="BF1" s="35" t="s">
        <v>142</v>
      </c>
      <c r="BG1" s="35" t="s">
        <v>143</v>
      </c>
      <c r="BH1" t="s">
        <v>114</v>
      </c>
      <c r="BI1" s="4" t="s">
        <v>25</v>
      </c>
      <c r="BJ1" t="s">
        <v>26</v>
      </c>
    </row>
    <row r="2" spans="1:62" x14ac:dyDescent="0.45">
      <c r="A2" s="34">
        <v>46092</v>
      </c>
      <c r="B2" t="s">
        <v>144</v>
      </c>
      <c r="C2">
        <v>1</v>
      </c>
      <c r="E2" t="s">
        <v>28</v>
      </c>
      <c r="F2">
        <v>1</v>
      </c>
      <c r="H2" t="s">
        <v>71</v>
      </c>
      <c r="I2">
        <v>-2</v>
      </c>
      <c r="J2" s="37">
        <v>1</v>
      </c>
      <c r="T2">
        <f>SUM(C2,F2,I2,L2,O2,R2)</f>
        <v>0</v>
      </c>
      <c r="V2" s="37">
        <v>1</v>
      </c>
      <c r="X2" t="s">
        <v>148</v>
      </c>
      <c r="Y2">
        <v>1</v>
      </c>
      <c r="Z2" s="6"/>
      <c r="AA2" s="10">
        <f>AVERAGE(Table2[[#This Row],[11-Mar]:[Column33]])</f>
        <v>3.6666666666666665</v>
      </c>
      <c r="AC2" t="str" cm="1">
        <f t="array" ref="AC2">IFERROR(INDEX(CHOOSE(MATCH($X2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2" t="str" cm="1">
        <f t="array" ref="AD2">IFERROR(INDEX(CHOOSE(MATCH($X2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2">
        <v>7</v>
      </c>
      <c r="AF2">
        <v>2</v>
      </c>
      <c r="AG2">
        <v>2</v>
      </c>
      <c r="AH2" t="str" cm="1">
        <f t="array" ref="AH2">IFERROR(INDEX(CHOOSE(MATCH($X2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2" t="str" cm="1">
        <f t="array" ref="AI2">IFERROR(INDEX(CHOOSE(MATCH($X2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2" t="str" cm="1">
        <f t="array" ref="AJ2">IFERROR(INDEX(CHOOSE(MATCH($X2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2" t="str" cm="1">
        <f t="array" ref="AK2">IFERROR(INDEX(CHOOSE(MATCH($X2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2" t="str" cm="1">
        <f t="array" ref="AL2">IFERROR(INDEX(CHOOSE(MATCH($X2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2" t="str" cm="1">
        <f t="array" ref="AM2">IFERROR(INDEX(CHOOSE(MATCH($X2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2" t="str" cm="1">
        <f t="array" ref="AN2">IFERROR(INDEX(CHOOSE(MATCH($X2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2" t="str" cm="1">
        <f t="array" ref="AO2">IFERROR(INDEX(CHOOSE(MATCH($X2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2" t="str" cm="1">
        <f t="array" ref="AP2">IFERROR(INDEX(CHOOSE(MATCH($X2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2" t="str" cm="1">
        <f t="array" ref="AQ2">IFERROR(INDEX(CHOOSE(MATCH($X2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2" t="str" cm="1">
        <f t="array" ref="AR2">IFERROR(INDEX(CHOOSE(MATCH($X2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2" t="str" cm="1">
        <f t="array" ref="AS2">IFERROR(INDEX(CHOOSE(MATCH($X2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2" t="str" cm="1">
        <f t="array" ref="AT2">IFERROR(INDEX(CHOOSE(MATCH($X2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2" t="str" cm="1">
        <f t="array" ref="AU2">IFERROR(INDEX(CHOOSE(MATCH($X2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2" t="str" cm="1">
        <f t="array" ref="AV2">IFERROR(INDEX(CHOOSE(MATCH($X2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2" t="str" cm="1">
        <f t="array" ref="AW2">IFERROR(INDEX(CHOOSE(MATCH($X2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2" t="str" cm="1">
        <f t="array" ref="AX2">IFERROR(INDEX(CHOOSE(MATCH($X2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2" t="str" cm="1">
        <f t="array" ref="AY2">IFERROR(INDEX(CHOOSE(MATCH($X2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2" t="str" cm="1">
        <f t="array" ref="AZ2">IFERROR(INDEX(CHOOSE(MATCH($X2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2" t="str" cm="1">
        <f t="array" ref="BA2">IFERROR(INDEX(CHOOSE(MATCH($X2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2" t="str" cm="1">
        <f t="array" ref="BB2">IFERROR(INDEX(CHOOSE(MATCH($X2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2" t="str" cm="1">
        <f t="array" ref="BC2">IFERROR(INDEX(CHOOSE(MATCH($X2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2" t="str" cm="1">
        <f t="array" ref="BD2">IFERROR(INDEX(CHOOSE(MATCH($X2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2" t="str" cm="1">
        <f t="array" ref="BE2">IFERROR(INDEX(CHOOSE(MATCH($X2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2" t="str" cm="1">
        <f t="array" ref="BF2">IFERROR(INDEX(CHOOSE(MATCH($X2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2" t="str" cm="1">
        <f t="array" ref="BG2">IFERROR(INDEX(CHOOSE(MATCH($X2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2" s="4">
        <f>AVERAGE(Table2[[#This Row],[11-Mar]:[Column33]])</f>
        <v>3.6666666666666665</v>
      </c>
      <c r="BJ2">
        <f>COUNT(Table2[[#This Row],[11-Mar]:[Column33]])</f>
        <v>3</v>
      </c>
    </row>
    <row r="3" spans="1:62" x14ac:dyDescent="0.45">
      <c r="A3" s="34">
        <v>46092</v>
      </c>
      <c r="B3" t="s">
        <v>45</v>
      </c>
      <c r="C3">
        <v>6</v>
      </c>
      <c r="E3" t="s">
        <v>50</v>
      </c>
      <c r="F3">
        <v>6</v>
      </c>
      <c r="H3" t="s">
        <v>40</v>
      </c>
      <c r="I3">
        <v>1</v>
      </c>
      <c r="T3">
        <f t="shared" ref="T3:T66" si="0">SUM(C3,F3,I3,L3,O3,R3)</f>
        <v>13</v>
      </c>
      <c r="X3" t="s">
        <v>41</v>
      </c>
      <c r="Z3" s="6"/>
      <c r="AA3" s="10" t="e">
        <f>AVERAGE(Table2[[#This Row],[11-Mar]:[Column33]])</f>
        <v>#DIV/0!</v>
      </c>
      <c r="AB3" t="str" cm="1">
        <f t="array" ref="AB3">IFERROR(INDEX(CHOOSE(MATCH($X3,INDEX($B:$R,MATCH(AB$1,$A:$A,0),{1,4,7,10,13,16}),0),INDEX($C:$C,MATCH(AB$1,$A:$A,0)),INDEX($F:$F,MATCH(AB$1,$A:$A,0)),INDEX($I:$I,MATCH(AB$1,$A:$A,0)),INDEX($L:$L,MATCH(AB$1,$A:$A,0)),INDEX($O:$O,MATCH(AB$1,$A:$A,0)),INDEX($R:$R,MATCH(AB$1,$A:$A,0))),1),"")</f>
        <v/>
      </c>
      <c r="BI3" s="4" t="e">
        <f>AVERAGE(Table2[[#This Row],[11-Mar]:[Column33]])</f>
        <v>#DIV/0!</v>
      </c>
      <c r="BJ3">
        <f>COUNT(Table2[[#This Row],[11-Mar]:[Column33]])</f>
        <v>0</v>
      </c>
    </row>
    <row r="4" spans="1:62" x14ac:dyDescent="0.45">
      <c r="A4" s="34">
        <v>46092</v>
      </c>
      <c r="B4" t="s">
        <v>91</v>
      </c>
      <c r="C4">
        <v>3</v>
      </c>
      <c r="E4" t="s">
        <v>29</v>
      </c>
      <c r="F4">
        <v>-1</v>
      </c>
      <c r="H4" t="s">
        <v>36</v>
      </c>
      <c r="I4">
        <v>4</v>
      </c>
      <c r="T4">
        <f t="shared" si="0"/>
        <v>6</v>
      </c>
      <c r="X4" t="s">
        <v>44</v>
      </c>
      <c r="Z4" s="6"/>
      <c r="AA4" s="10" t="e">
        <f>AVERAGE(Table2[[#This Row],[11-Mar]:[Column33]])</f>
        <v>#DIV/0!</v>
      </c>
      <c r="AC4" t="str" cm="1">
        <f t="array" ref="AC4">IFERROR(INDEX(CHOOSE(MATCH($X4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4" t="str" cm="1">
        <f t="array" ref="AD4">IFERROR(INDEX(CHOOSE(MATCH($X4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4" t="str" cm="1">
        <f t="array" ref="AE4">IFERROR(INDEX(CHOOSE(MATCH($X4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4" t="str" cm="1">
        <f t="array" ref="AF4">IFERROR(INDEX(CHOOSE(MATCH($X4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4" t="str" cm="1">
        <f t="array" ref="AG4">IFERROR(INDEX(CHOOSE(MATCH($X4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4" t="str" cm="1">
        <f t="array" ref="AH4">IFERROR(INDEX(CHOOSE(MATCH($X4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4" t="str" cm="1">
        <f t="array" ref="AI4">IFERROR(INDEX(CHOOSE(MATCH($X4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4" t="str" cm="1">
        <f t="array" ref="AJ4">IFERROR(INDEX(CHOOSE(MATCH($X4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4" t="str" cm="1">
        <f t="array" ref="AK4">IFERROR(INDEX(CHOOSE(MATCH($X4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4" t="str" cm="1">
        <f t="array" ref="AL4">IFERROR(INDEX(CHOOSE(MATCH($X4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4" t="str" cm="1">
        <f t="array" ref="AM4">IFERROR(INDEX(CHOOSE(MATCH($X4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4" t="str" cm="1">
        <f t="array" ref="AN4">IFERROR(INDEX(CHOOSE(MATCH($X4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4" t="str" cm="1">
        <f t="array" ref="AO4">IFERROR(INDEX(CHOOSE(MATCH($X4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4" t="str" cm="1">
        <f t="array" ref="AP4">IFERROR(INDEX(CHOOSE(MATCH($X4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4" t="str" cm="1">
        <f t="array" ref="AQ4">IFERROR(INDEX(CHOOSE(MATCH($X4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4" t="str" cm="1">
        <f t="array" ref="AR4">IFERROR(INDEX(CHOOSE(MATCH($X4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4" t="str" cm="1">
        <f t="array" ref="AS4">IFERROR(INDEX(CHOOSE(MATCH($X4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4" t="str" cm="1">
        <f t="array" ref="AT4">IFERROR(INDEX(CHOOSE(MATCH($X4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4" t="str" cm="1">
        <f t="array" ref="AU4">IFERROR(INDEX(CHOOSE(MATCH($X4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4" t="str" cm="1">
        <f t="array" ref="AV4">IFERROR(INDEX(CHOOSE(MATCH($X4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4" t="str" cm="1">
        <f t="array" ref="AW4">IFERROR(INDEX(CHOOSE(MATCH($X4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4" t="str" cm="1">
        <f t="array" ref="AX4">IFERROR(INDEX(CHOOSE(MATCH($X4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4" t="str" cm="1">
        <f t="array" ref="AY4">IFERROR(INDEX(CHOOSE(MATCH($X4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4" t="str" cm="1">
        <f t="array" ref="AZ4">IFERROR(INDEX(CHOOSE(MATCH($X4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4" t="str" cm="1">
        <f t="array" ref="BA4">IFERROR(INDEX(CHOOSE(MATCH($X4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4" t="str" cm="1">
        <f t="array" ref="BB4">IFERROR(INDEX(CHOOSE(MATCH($X4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4" t="str" cm="1">
        <f t="array" ref="BC4">IFERROR(INDEX(CHOOSE(MATCH($X4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4" t="str" cm="1">
        <f t="array" ref="BD4">IFERROR(INDEX(CHOOSE(MATCH($X4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4" t="str" cm="1">
        <f t="array" ref="BE4">IFERROR(INDEX(CHOOSE(MATCH($X4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4" t="str" cm="1">
        <f t="array" ref="BF4">IFERROR(INDEX(CHOOSE(MATCH($X4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4" t="str" cm="1">
        <f t="array" ref="BG4">IFERROR(INDEX(CHOOSE(MATCH($X4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4" s="4" t="e">
        <f>AVERAGE(Table2[[#This Row],[11-Mar]:[Column33]])</f>
        <v>#DIV/0!</v>
      </c>
      <c r="BJ4">
        <f>COUNT(Table2[[#This Row],[11-Mar]:[Column33]])</f>
        <v>0</v>
      </c>
    </row>
    <row r="5" spans="1:62" x14ac:dyDescent="0.45">
      <c r="A5" s="34">
        <v>46092</v>
      </c>
      <c r="B5" t="s">
        <v>39</v>
      </c>
      <c r="C5">
        <v>0</v>
      </c>
      <c r="E5" t="s">
        <v>33</v>
      </c>
      <c r="F5">
        <v>0</v>
      </c>
      <c r="H5" t="s">
        <v>145</v>
      </c>
      <c r="I5">
        <v>2</v>
      </c>
      <c r="T5">
        <f t="shared" si="0"/>
        <v>2</v>
      </c>
      <c r="X5" t="s">
        <v>46</v>
      </c>
      <c r="Z5" s="6">
        <v>1</v>
      </c>
      <c r="AA5" s="10">
        <f>AVERAGE(Table2[[#This Row],[11-Mar]:[Column33]])</f>
        <v>1.25</v>
      </c>
      <c r="AC5">
        <v>1</v>
      </c>
      <c r="AD5">
        <v>4</v>
      </c>
      <c r="AE5" t="str" cm="1">
        <f t="array" ref="AE5">IFERROR(INDEX(CHOOSE(MATCH($X5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5">
        <v>3</v>
      </c>
      <c r="AG5" t="str" cm="1">
        <f t="array" ref="AG5">IFERROR(INDEX(CHOOSE(MATCH($X5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5" t="str" cm="1">
        <f t="array" ref="AH5">IFERROR(INDEX(CHOOSE(MATCH($X5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5">
        <v>-3</v>
      </c>
      <c r="AJ5" t="str" cm="1">
        <f t="array" ref="AJ5">IFERROR(INDEX(CHOOSE(MATCH($X5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5" t="str" cm="1">
        <f t="array" ref="AK5">IFERROR(INDEX(CHOOSE(MATCH($X5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5" t="str" cm="1">
        <f t="array" ref="AL5">IFERROR(INDEX(CHOOSE(MATCH($X5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5" t="str" cm="1">
        <f t="array" ref="AM5">IFERROR(INDEX(CHOOSE(MATCH($X5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5" t="str" cm="1">
        <f t="array" ref="AN5">IFERROR(INDEX(CHOOSE(MATCH($X5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5" t="str" cm="1">
        <f t="array" ref="AO5">IFERROR(INDEX(CHOOSE(MATCH($X5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5" t="str" cm="1">
        <f t="array" ref="AP5">IFERROR(INDEX(CHOOSE(MATCH($X5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5" t="str" cm="1">
        <f t="array" ref="AQ5">IFERROR(INDEX(CHOOSE(MATCH($X5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5" t="str" cm="1">
        <f t="array" ref="AR5">IFERROR(INDEX(CHOOSE(MATCH($X5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5" t="str" cm="1">
        <f t="array" ref="AS5">IFERROR(INDEX(CHOOSE(MATCH($X5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5" t="str" cm="1">
        <f t="array" ref="AT5">IFERROR(INDEX(CHOOSE(MATCH($X5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5" t="str" cm="1">
        <f t="array" ref="AU5">IFERROR(INDEX(CHOOSE(MATCH($X5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5" t="str" cm="1">
        <f t="array" ref="AV5">IFERROR(INDEX(CHOOSE(MATCH($X5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5" t="str" cm="1">
        <f t="array" ref="AW5">IFERROR(INDEX(CHOOSE(MATCH($X5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5" t="str" cm="1">
        <f t="array" ref="AX5">IFERROR(INDEX(CHOOSE(MATCH($X5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5" t="str" cm="1">
        <f t="array" ref="AY5">IFERROR(INDEX(CHOOSE(MATCH($X5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5" t="str" cm="1">
        <f t="array" ref="AZ5">IFERROR(INDEX(CHOOSE(MATCH($X5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5" t="str" cm="1">
        <f t="array" ref="BA5">IFERROR(INDEX(CHOOSE(MATCH($X5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5" t="str" cm="1">
        <f t="array" ref="BB5">IFERROR(INDEX(CHOOSE(MATCH($X5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5" t="str" cm="1">
        <f t="array" ref="BC5">IFERROR(INDEX(CHOOSE(MATCH($X5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5" t="str" cm="1">
        <f t="array" ref="BD5">IFERROR(INDEX(CHOOSE(MATCH($X5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5" t="str" cm="1">
        <f t="array" ref="BE5">IFERROR(INDEX(CHOOSE(MATCH($X5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5" t="str" cm="1">
        <f t="array" ref="BF5">IFERROR(INDEX(CHOOSE(MATCH($X5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5" t="str" cm="1">
        <f t="array" ref="BG5">IFERROR(INDEX(CHOOSE(MATCH($X5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5" s="4">
        <f>AVERAGE(Table2[[#This Row],[11-Mar]:[Column33]])</f>
        <v>1.25</v>
      </c>
      <c r="BJ5">
        <f>COUNT(Table2[[#This Row],[11-Mar]:[Column33]])</f>
        <v>4</v>
      </c>
    </row>
    <row r="6" spans="1:62" x14ac:dyDescent="0.45">
      <c r="A6" s="34">
        <v>46092</v>
      </c>
      <c r="B6" t="s">
        <v>34</v>
      </c>
      <c r="C6">
        <v>0</v>
      </c>
      <c r="E6" t="s">
        <v>31</v>
      </c>
      <c r="F6">
        <v>3</v>
      </c>
      <c r="H6" t="s">
        <v>104</v>
      </c>
      <c r="I6">
        <v>6</v>
      </c>
      <c r="T6">
        <f t="shared" si="0"/>
        <v>9</v>
      </c>
      <c r="V6" s="37">
        <v>1</v>
      </c>
      <c r="X6" t="s">
        <v>101</v>
      </c>
      <c r="Z6" s="6"/>
      <c r="AA6" s="10" t="e">
        <f>AVERAGE(Table2[[#This Row],[11-Mar]:[Column33]])</f>
        <v>#DIV/0!</v>
      </c>
      <c r="AC6" t="str" cm="1">
        <f t="array" ref="AC6">IFERROR(INDEX(CHOOSE(MATCH($X6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6" t="str" cm="1">
        <f t="array" ref="AD6">IFERROR(INDEX(CHOOSE(MATCH($X6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6" t="str" cm="1">
        <f t="array" ref="AE6">IFERROR(INDEX(CHOOSE(MATCH($X6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6" t="str" cm="1">
        <f t="array" ref="AF6">IFERROR(INDEX(CHOOSE(MATCH($X6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6" t="str" cm="1">
        <f t="array" ref="AG6">IFERROR(INDEX(CHOOSE(MATCH($X6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6" t="str" cm="1">
        <f t="array" ref="AH6">IFERROR(INDEX(CHOOSE(MATCH($X6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6" t="str" cm="1">
        <f t="array" ref="AI6">IFERROR(INDEX(CHOOSE(MATCH($X6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6" t="str" cm="1">
        <f t="array" ref="AJ6">IFERROR(INDEX(CHOOSE(MATCH($X6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6" t="str" cm="1">
        <f t="array" ref="AK6">IFERROR(INDEX(CHOOSE(MATCH($X6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6" t="str" cm="1">
        <f t="array" ref="AL6">IFERROR(INDEX(CHOOSE(MATCH($X6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6" t="str" cm="1">
        <f t="array" ref="AM6">IFERROR(INDEX(CHOOSE(MATCH($X6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6" t="str" cm="1">
        <f t="array" ref="AN6">IFERROR(INDEX(CHOOSE(MATCH($X6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6" t="str" cm="1">
        <f t="array" ref="AO6">IFERROR(INDEX(CHOOSE(MATCH($X6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6" t="str" cm="1">
        <f t="array" ref="AP6">IFERROR(INDEX(CHOOSE(MATCH($X6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6" t="str" cm="1">
        <f t="array" ref="AQ6">IFERROR(INDEX(CHOOSE(MATCH($X6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6" t="str" cm="1">
        <f t="array" ref="AR6">IFERROR(INDEX(CHOOSE(MATCH($X6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6" t="str" cm="1">
        <f t="array" ref="AS6">IFERROR(INDEX(CHOOSE(MATCH($X6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6" t="str" cm="1">
        <f t="array" ref="AT6">IFERROR(INDEX(CHOOSE(MATCH($X6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6" t="str" cm="1">
        <f t="array" ref="AU6">IFERROR(INDEX(CHOOSE(MATCH($X6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6" t="str" cm="1">
        <f t="array" ref="AV6">IFERROR(INDEX(CHOOSE(MATCH($X6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6" t="str" cm="1">
        <f t="array" ref="AW6">IFERROR(INDEX(CHOOSE(MATCH($X6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6" t="str" cm="1">
        <f t="array" ref="AX6">IFERROR(INDEX(CHOOSE(MATCH($X6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6" t="str" cm="1">
        <f t="array" ref="AY6">IFERROR(INDEX(CHOOSE(MATCH($X6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6" t="str" cm="1">
        <f t="array" ref="AZ6">IFERROR(INDEX(CHOOSE(MATCH($X6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6" t="str" cm="1">
        <f t="array" ref="BA6">IFERROR(INDEX(CHOOSE(MATCH($X6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6" t="str" cm="1">
        <f t="array" ref="BB6">IFERROR(INDEX(CHOOSE(MATCH($X6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6" t="str" cm="1">
        <f t="array" ref="BC6">IFERROR(INDEX(CHOOSE(MATCH($X6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6" t="str" cm="1">
        <f t="array" ref="BD6">IFERROR(INDEX(CHOOSE(MATCH($X6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6" t="str" cm="1">
        <f t="array" ref="BE6">IFERROR(INDEX(CHOOSE(MATCH($X6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6" t="str" cm="1">
        <f t="array" ref="BF6">IFERROR(INDEX(CHOOSE(MATCH($X6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6" t="str" cm="1">
        <f t="array" ref="BG6">IFERROR(INDEX(CHOOSE(MATCH($X6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6" s="4" t="e">
        <f>AVERAGE(Table2[[#This Row],[11-Mar]:[Column33]])</f>
        <v>#DIV/0!</v>
      </c>
      <c r="BJ6">
        <f>COUNT(Table2[[#This Row],[11-Mar]:[Column33]])</f>
        <v>0</v>
      </c>
    </row>
    <row r="7" spans="1:62" x14ac:dyDescent="0.45">
      <c r="A7" s="38">
        <v>46092</v>
      </c>
      <c r="B7" s="39" t="s">
        <v>69</v>
      </c>
      <c r="C7" s="39">
        <v>-4</v>
      </c>
      <c r="D7" s="39"/>
      <c r="E7" s="39" t="s">
        <v>30</v>
      </c>
      <c r="F7" s="39">
        <v>0</v>
      </c>
      <c r="G7" s="39"/>
      <c r="H7" s="39" t="s">
        <v>37</v>
      </c>
      <c r="I7" s="39">
        <v>-1</v>
      </c>
      <c r="J7" s="39">
        <v>1</v>
      </c>
      <c r="K7" s="39"/>
      <c r="L7" s="39"/>
      <c r="M7" s="39"/>
      <c r="N7" s="39"/>
      <c r="O7" s="39"/>
      <c r="P7" s="39"/>
      <c r="Q7" s="39"/>
      <c r="R7" s="39"/>
      <c r="S7" s="39"/>
      <c r="T7" s="39">
        <f t="shared" si="0"/>
        <v>-5</v>
      </c>
      <c r="U7" s="36" t="s">
        <v>146</v>
      </c>
      <c r="X7" t="s">
        <v>52</v>
      </c>
      <c r="Z7" s="6"/>
      <c r="AA7" s="10">
        <f>AVERAGE(Table2[[#This Row],[11-Mar]:[Column33]])</f>
        <v>-1</v>
      </c>
      <c r="AC7" t="str" cm="1">
        <f t="array" ref="AC7">IFERROR(INDEX(CHOOSE(MATCH($X7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7" t="str" cm="1">
        <f t="array" ref="AD7">IFERROR(INDEX(CHOOSE(MATCH($X7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7" t="str" cm="1">
        <f t="array" ref="AE7">IFERROR(INDEX(CHOOSE(MATCH($X7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7">
        <v>-1</v>
      </c>
      <c r="AG7" t="str" cm="1">
        <f t="array" ref="AG7">IFERROR(INDEX(CHOOSE(MATCH($X7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7" t="str" cm="1">
        <f t="array" ref="AH7">IFERROR(INDEX(CHOOSE(MATCH($X7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7" t="str" cm="1">
        <f t="array" ref="AI7">IFERROR(INDEX(CHOOSE(MATCH($X7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7" t="str" cm="1">
        <f t="array" ref="AJ7">IFERROR(INDEX(CHOOSE(MATCH($X7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7" t="str" cm="1">
        <f t="array" ref="AK7">IFERROR(INDEX(CHOOSE(MATCH($X7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7" t="str" cm="1">
        <f t="array" ref="AL7">IFERROR(INDEX(CHOOSE(MATCH($X7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7" t="str" cm="1">
        <f t="array" ref="AM7">IFERROR(INDEX(CHOOSE(MATCH($X7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7" t="str" cm="1">
        <f t="array" ref="AN7">IFERROR(INDEX(CHOOSE(MATCH($X7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7" t="str" cm="1">
        <f t="array" ref="AO7">IFERROR(INDEX(CHOOSE(MATCH($X7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7" t="str" cm="1">
        <f t="array" ref="AP7">IFERROR(INDEX(CHOOSE(MATCH($X7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7" t="str" cm="1">
        <f t="array" ref="AQ7">IFERROR(INDEX(CHOOSE(MATCH($X7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7" t="str" cm="1">
        <f t="array" ref="AR7">IFERROR(INDEX(CHOOSE(MATCH($X7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7" t="str" cm="1">
        <f t="array" ref="AS7">IFERROR(INDEX(CHOOSE(MATCH($X7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7" t="str" cm="1">
        <f t="array" ref="AT7">IFERROR(INDEX(CHOOSE(MATCH($X7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7" t="str" cm="1">
        <f t="array" ref="AU7">IFERROR(INDEX(CHOOSE(MATCH($X7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7" t="str" cm="1">
        <f t="array" ref="AV7">IFERROR(INDEX(CHOOSE(MATCH($X7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7" t="str" cm="1">
        <f t="array" ref="AW7">IFERROR(INDEX(CHOOSE(MATCH($X7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7" t="str" cm="1">
        <f t="array" ref="AX7">IFERROR(INDEX(CHOOSE(MATCH($X7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7" t="str" cm="1">
        <f t="array" ref="AY7">IFERROR(INDEX(CHOOSE(MATCH($X7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7" t="str" cm="1">
        <f t="array" ref="AZ7">IFERROR(INDEX(CHOOSE(MATCH($X7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7" t="str" cm="1">
        <f t="array" ref="BA7">IFERROR(INDEX(CHOOSE(MATCH($X7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7" t="str" cm="1">
        <f t="array" ref="BB7">IFERROR(INDEX(CHOOSE(MATCH($X7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7" t="str" cm="1">
        <f t="array" ref="BC7">IFERROR(INDEX(CHOOSE(MATCH($X7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7" t="str" cm="1">
        <f t="array" ref="BD7">IFERROR(INDEX(CHOOSE(MATCH($X7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7" t="str" cm="1">
        <f t="array" ref="BE7">IFERROR(INDEX(CHOOSE(MATCH($X7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7" t="str" cm="1">
        <f t="array" ref="BF7">IFERROR(INDEX(CHOOSE(MATCH($X7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7" t="str" cm="1">
        <f t="array" ref="BG7">IFERROR(INDEX(CHOOSE(MATCH($X7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7" s="4">
        <f>AVERAGE(Table2[[#This Row],[11-Mar]:[Column33]])</f>
        <v>-1</v>
      </c>
      <c r="BJ7">
        <f>COUNT(Table2[[#This Row],[11-Mar]:[Column33]])</f>
        <v>1</v>
      </c>
    </row>
    <row r="8" spans="1:62" x14ac:dyDescent="0.45">
      <c r="A8" s="34">
        <v>46099</v>
      </c>
      <c r="B8" t="s">
        <v>42</v>
      </c>
      <c r="C8">
        <v>1</v>
      </c>
      <c r="E8" t="s">
        <v>144</v>
      </c>
      <c r="F8">
        <v>2</v>
      </c>
      <c r="T8">
        <f t="shared" si="0"/>
        <v>3</v>
      </c>
      <c r="X8" t="s">
        <v>104</v>
      </c>
      <c r="Z8" s="6">
        <v>3</v>
      </c>
      <c r="AA8" s="10">
        <f>AVERAGE(Table2[[#This Row],[11-Mar]:[Column33]])</f>
        <v>2.875</v>
      </c>
      <c r="AB8">
        <v>6</v>
      </c>
      <c r="AC8" t="str" cm="1">
        <f t="array" ref="AC8">IFERROR(INDEX(CHOOSE(MATCH($X8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8">
        <v>3</v>
      </c>
      <c r="AE8">
        <v>1</v>
      </c>
      <c r="AF8">
        <v>5</v>
      </c>
      <c r="AG8">
        <v>2</v>
      </c>
      <c r="AH8">
        <v>2</v>
      </c>
      <c r="AI8">
        <v>1</v>
      </c>
      <c r="AJ8">
        <v>3</v>
      </c>
      <c r="AK8" t="str" cm="1">
        <f t="array" ref="AK8">IFERROR(INDEX(CHOOSE(MATCH($X8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8" t="str" cm="1">
        <f t="array" ref="AL8">IFERROR(INDEX(CHOOSE(MATCH($X8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8" t="str" cm="1">
        <f t="array" ref="AM8">IFERROR(INDEX(CHOOSE(MATCH($X8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8" t="str" cm="1">
        <f t="array" ref="AN8">IFERROR(INDEX(CHOOSE(MATCH($X8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8" t="str" cm="1">
        <f t="array" ref="AO8">IFERROR(INDEX(CHOOSE(MATCH($X8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8" t="str" cm="1">
        <f t="array" ref="AP8">IFERROR(INDEX(CHOOSE(MATCH($X8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8" t="str" cm="1">
        <f t="array" ref="AQ8">IFERROR(INDEX(CHOOSE(MATCH($X8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8" t="str" cm="1">
        <f t="array" ref="AR8">IFERROR(INDEX(CHOOSE(MATCH($X8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8" t="str" cm="1">
        <f t="array" ref="AS8">IFERROR(INDEX(CHOOSE(MATCH($X8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8" t="str" cm="1">
        <f t="array" ref="AT8">IFERROR(INDEX(CHOOSE(MATCH($X8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8" t="str" cm="1">
        <f t="array" ref="AU8">IFERROR(INDEX(CHOOSE(MATCH($X8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8" t="str" cm="1">
        <f t="array" ref="AV8">IFERROR(INDEX(CHOOSE(MATCH($X8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8" t="str" cm="1">
        <f t="array" ref="AW8">IFERROR(INDEX(CHOOSE(MATCH($X8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8" t="str" cm="1">
        <f t="array" ref="AX8">IFERROR(INDEX(CHOOSE(MATCH($X8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8" t="str" cm="1">
        <f t="array" ref="AY8">IFERROR(INDEX(CHOOSE(MATCH($X8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8" t="str" cm="1">
        <f t="array" ref="AZ8">IFERROR(INDEX(CHOOSE(MATCH($X8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8" t="str" cm="1">
        <f t="array" ref="BA8">IFERROR(INDEX(CHOOSE(MATCH($X8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8" t="str" cm="1">
        <f t="array" ref="BB8">IFERROR(INDEX(CHOOSE(MATCH($X8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8" t="str" cm="1">
        <f t="array" ref="BC8">IFERROR(INDEX(CHOOSE(MATCH($X8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8" t="str" cm="1">
        <f t="array" ref="BD8">IFERROR(INDEX(CHOOSE(MATCH($X8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8" t="str" cm="1">
        <f t="array" ref="BE8">IFERROR(INDEX(CHOOSE(MATCH($X8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8" t="str" cm="1">
        <f t="array" ref="BF8">IFERROR(INDEX(CHOOSE(MATCH($X8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8" t="str" cm="1">
        <f t="array" ref="BG8">IFERROR(INDEX(CHOOSE(MATCH($X8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8" s="4">
        <f>AVERAGE(Table2[[#This Row],[11-Mar]:[Column33]])</f>
        <v>2.875</v>
      </c>
      <c r="BJ8">
        <f>COUNT(Table2[[#This Row],[11-Mar]:[Column33]])</f>
        <v>8</v>
      </c>
    </row>
    <row r="9" spans="1:62" x14ac:dyDescent="0.45">
      <c r="A9" s="38">
        <v>46099</v>
      </c>
      <c r="B9" s="39" t="s">
        <v>37</v>
      </c>
      <c r="C9" s="39">
        <v>0</v>
      </c>
      <c r="D9" s="39"/>
      <c r="E9" s="39" t="s">
        <v>28</v>
      </c>
      <c r="F9" s="39">
        <v>-1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>
        <f t="shared" si="0"/>
        <v>-1</v>
      </c>
      <c r="U9" s="39" t="s">
        <v>146</v>
      </c>
      <c r="X9" t="s">
        <v>53</v>
      </c>
      <c r="Z9" s="6"/>
      <c r="AA9" s="10" t="e">
        <f>AVERAGE(Table2[[#This Row],[11-Mar]:[Column33]])</f>
        <v>#DIV/0!</v>
      </c>
      <c r="AC9" t="str" cm="1">
        <f t="array" ref="AC9">IFERROR(INDEX(CHOOSE(MATCH($X9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9" t="str" cm="1">
        <f t="array" ref="AD9">IFERROR(INDEX(CHOOSE(MATCH($X9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9" t="str" cm="1">
        <f t="array" ref="AE9">IFERROR(INDEX(CHOOSE(MATCH($X9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9" t="str" cm="1">
        <f t="array" ref="AF9">IFERROR(INDEX(CHOOSE(MATCH($X9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9" t="str" cm="1">
        <f t="array" ref="AG9">IFERROR(INDEX(CHOOSE(MATCH($X9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9" t="str" cm="1">
        <f t="array" ref="AH9">IFERROR(INDEX(CHOOSE(MATCH($X9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9" t="str" cm="1">
        <f t="array" ref="AI9">IFERROR(INDEX(CHOOSE(MATCH($X9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9" t="str" cm="1">
        <f t="array" ref="AJ9">IFERROR(INDEX(CHOOSE(MATCH($X9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9" t="str" cm="1">
        <f t="array" ref="AK9">IFERROR(INDEX(CHOOSE(MATCH($X9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9" t="str" cm="1">
        <f t="array" ref="AL9">IFERROR(INDEX(CHOOSE(MATCH($X9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9" t="str" cm="1">
        <f t="array" ref="AM9">IFERROR(INDEX(CHOOSE(MATCH($X9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9" t="str" cm="1">
        <f t="array" ref="AN9">IFERROR(INDEX(CHOOSE(MATCH($X9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9" t="str" cm="1">
        <f t="array" ref="AO9">IFERROR(INDEX(CHOOSE(MATCH($X9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9" t="str" cm="1">
        <f t="array" ref="AP9">IFERROR(INDEX(CHOOSE(MATCH($X9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9" t="str" cm="1">
        <f t="array" ref="AQ9">IFERROR(INDEX(CHOOSE(MATCH($X9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9" t="str" cm="1">
        <f t="array" ref="AR9">IFERROR(INDEX(CHOOSE(MATCH($X9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9" t="str" cm="1">
        <f t="array" ref="AS9">IFERROR(INDEX(CHOOSE(MATCH($X9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9" t="str" cm="1">
        <f t="array" ref="AT9">IFERROR(INDEX(CHOOSE(MATCH($X9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9" t="str" cm="1">
        <f t="array" ref="AU9">IFERROR(INDEX(CHOOSE(MATCH($X9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9" t="str" cm="1">
        <f t="array" ref="AV9">IFERROR(INDEX(CHOOSE(MATCH($X9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9" t="str" cm="1">
        <f t="array" ref="AW9">IFERROR(INDEX(CHOOSE(MATCH($X9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9" t="str" cm="1">
        <f t="array" ref="AX9">IFERROR(INDEX(CHOOSE(MATCH($X9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9" t="str" cm="1">
        <f t="array" ref="AY9">IFERROR(INDEX(CHOOSE(MATCH($X9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9" t="str" cm="1">
        <f t="array" ref="AZ9">IFERROR(INDEX(CHOOSE(MATCH($X9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9" t="str" cm="1">
        <f t="array" ref="BA9">IFERROR(INDEX(CHOOSE(MATCH($X9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9" t="str" cm="1">
        <f t="array" ref="BB9">IFERROR(INDEX(CHOOSE(MATCH($X9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9" t="str" cm="1">
        <f t="array" ref="BC9">IFERROR(INDEX(CHOOSE(MATCH($X9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9" t="str" cm="1">
        <f t="array" ref="BD9">IFERROR(INDEX(CHOOSE(MATCH($X9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9" t="str" cm="1">
        <f t="array" ref="BE9">IFERROR(INDEX(CHOOSE(MATCH($X9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9" t="str" cm="1">
        <f t="array" ref="BF9">IFERROR(INDEX(CHOOSE(MATCH($X9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9" t="str" cm="1">
        <f t="array" ref="BG9">IFERROR(INDEX(CHOOSE(MATCH($X9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9" s="4" t="e">
        <f>AVERAGE(Table2[[#This Row],[11-Mar]:[Column33]])</f>
        <v>#DIV/0!</v>
      </c>
      <c r="BJ9">
        <f>COUNT(Table2[[#This Row],[11-Mar]:[Column33]])</f>
        <v>0</v>
      </c>
    </row>
    <row r="10" spans="1:62" x14ac:dyDescent="0.45">
      <c r="A10" s="34">
        <v>46099</v>
      </c>
      <c r="B10" t="s">
        <v>40</v>
      </c>
      <c r="C10">
        <v>1</v>
      </c>
      <c r="E10" t="s">
        <v>39</v>
      </c>
      <c r="F10">
        <v>1</v>
      </c>
      <c r="T10">
        <f t="shared" si="0"/>
        <v>2</v>
      </c>
      <c r="X10" t="s">
        <v>55</v>
      </c>
      <c r="Z10" s="6"/>
      <c r="AA10" s="10">
        <f>AVERAGE(Table2[[#This Row],[11-Mar]:[Column33]])</f>
        <v>5.5</v>
      </c>
      <c r="AC10">
        <v>5</v>
      </c>
      <c r="AD10" t="str" cm="1">
        <f t="array" ref="AD10">IFERROR(INDEX(CHOOSE(MATCH($X10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10">
        <v>6</v>
      </c>
      <c r="AF10" t="str" cm="1">
        <f t="array" ref="AF10">IFERROR(INDEX(CHOOSE(MATCH($X10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10" t="str" cm="1">
        <f t="array" ref="AG10">IFERROR(INDEX(CHOOSE(MATCH($X10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10" t="str" cm="1">
        <f t="array" ref="AH10">IFERROR(INDEX(CHOOSE(MATCH($X10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10" t="str" cm="1">
        <f t="array" ref="AI10">IFERROR(INDEX(CHOOSE(MATCH($X10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10" t="str" cm="1">
        <f t="array" ref="AJ10">IFERROR(INDEX(CHOOSE(MATCH($X10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10" t="str" cm="1">
        <f t="array" ref="AK10">IFERROR(INDEX(CHOOSE(MATCH($X10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10" t="str" cm="1">
        <f t="array" ref="AL10">IFERROR(INDEX(CHOOSE(MATCH($X10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10" t="str" cm="1">
        <f t="array" ref="AM10">IFERROR(INDEX(CHOOSE(MATCH($X10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10" t="str" cm="1">
        <f t="array" ref="AN10">IFERROR(INDEX(CHOOSE(MATCH($X10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10" t="str" cm="1">
        <f t="array" ref="AO10">IFERROR(INDEX(CHOOSE(MATCH($X10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10" t="str" cm="1">
        <f t="array" ref="AP10">IFERROR(INDEX(CHOOSE(MATCH($X10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10" t="str" cm="1">
        <f t="array" ref="AQ10">IFERROR(INDEX(CHOOSE(MATCH($X10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10" t="str" cm="1">
        <f t="array" ref="AR10">IFERROR(INDEX(CHOOSE(MATCH($X10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10" t="str" cm="1">
        <f t="array" ref="AS10">IFERROR(INDEX(CHOOSE(MATCH($X10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10" t="str" cm="1">
        <f t="array" ref="AT10">IFERROR(INDEX(CHOOSE(MATCH($X10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10" t="str" cm="1">
        <f t="array" ref="AU10">IFERROR(INDEX(CHOOSE(MATCH($X10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10" t="str" cm="1">
        <f t="array" ref="AV10">IFERROR(INDEX(CHOOSE(MATCH($X10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10" t="str" cm="1">
        <f t="array" ref="AW10">IFERROR(INDEX(CHOOSE(MATCH($X10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10" t="str" cm="1">
        <f t="array" ref="AX10">IFERROR(INDEX(CHOOSE(MATCH($X10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10" t="str" cm="1">
        <f t="array" ref="AY10">IFERROR(INDEX(CHOOSE(MATCH($X10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10" t="str" cm="1">
        <f t="array" ref="AZ10">IFERROR(INDEX(CHOOSE(MATCH($X10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10" t="str" cm="1">
        <f t="array" ref="BA10">IFERROR(INDEX(CHOOSE(MATCH($X10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10" t="str" cm="1">
        <f t="array" ref="BB10">IFERROR(INDEX(CHOOSE(MATCH($X10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10" t="str" cm="1">
        <f t="array" ref="BC10">IFERROR(INDEX(CHOOSE(MATCH($X10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10" t="str" cm="1">
        <f t="array" ref="BD10">IFERROR(INDEX(CHOOSE(MATCH($X10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10" t="str" cm="1">
        <f t="array" ref="BE10">IFERROR(INDEX(CHOOSE(MATCH($X10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10" t="str" cm="1">
        <f t="array" ref="BF10">IFERROR(INDEX(CHOOSE(MATCH($X10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10" t="str" cm="1">
        <f t="array" ref="BG10">IFERROR(INDEX(CHOOSE(MATCH($X10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10" s="4">
        <f>AVERAGE(Table2[[#This Row],[11-Mar]:[Column33]])</f>
        <v>5.5</v>
      </c>
      <c r="BJ10">
        <f>COUNT(Table2[[#This Row],[11-Mar]:[Column33]])</f>
        <v>2</v>
      </c>
    </row>
    <row r="11" spans="1:62" x14ac:dyDescent="0.45">
      <c r="A11" s="34">
        <v>46099</v>
      </c>
      <c r="B11" t="s">
        <v>55</v>
      </c>
      <c r="C11">
        <v>5</v>
      </c>
      <c r="E11" t="s">
        <v>46</v>
      </c>
      <c r="F11">
        <v>1</v>
      </c>
      <c r="T11">
        <f t="shared" si="0"/>
        <v>6</v>
      </c>
      <c r="X11" t="s">
        <v>58</v>
      </c>
      <c r="Z11" s="6"/>
      <c r="AA11" s="10">
        <f>AVERAGE(Table2[[#This Row],[11-Mar]:[Column33]])</f>
        <v>0</v>
      </c>
      <c r="AC11" t="str" cm="1">
        <f t="array" ref="AC11">IFERROR(INDEX(CHOOSE(MATCH($X11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11" t="str" cm="1">
        <f t="array" ref="AD11">IFERROR(INDEX(CHOOSE(MATCH($X11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11" t="str" cm="1">
        <f t="array" ref="AE11">IFERROR(INDEX(CHOOSE(MATCH($X11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11">
        <v>-2</v>
      </c>
      <c r="AG11" t="str" cm="1">
        <f t="array" ref="AG11">IFERROR(INDEX(CHOOSE(MATCH($X11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11">
        <v>2</v>
      </c>
      <c r="AI11" t="str" cm="1">
        <f t="array" ref="AI11">IFERROR(INDEX(CHOOSE(MATCH($X11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11" t="str" cm="1">
        <f t="array" ref="AJ11">IFERROR(INDEX(CHOOSE(MATCH($X11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11" t="str" cm="1">
        <f t="array" ref="AK11">IFERROR(INDEX(CHOOSE(MATCH($X11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11" t="str" cm="1">
        <f t="array" ref="AL11">IFERROR(INDEX(CHOOSE(MATCH($X11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11" t="str" cm="1">
        <f t="array" ref="AM11">IFERROR(INDEX(CHOOSE(MATCH($X11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11" t="str" cm="1">
        <f t="array" ref="AN11">IFERROR(INDEX(CHOOSE(MATCH($X11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11" t="str" cm="1">
        <f t="array" ref="AO11">IFERROR(INDEX(CHOOSE(MATCH($X11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11" t="str" cm="1">
        <f t="array" ref="AP11">IFERROR(INDEX(CHOOSE(MATCH($X11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11" t="str" cm="1">
        <f t="array" ref="AQ11">IFERROR(INDEX(CHOOSE(MATCH($X11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11" t="str" cm="1">
        <f t="array" ref="AR11">IFERROR(INDEX(CHOOSE(MATCH($X11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11" t="str" cm="1">
        <f t="array" ref="AS11">IFERROR(INDEX(CHOOSE(MATCH($X11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11" t="str" cm="1">
        <f t="array" ref="AT11">IFERROR(INDEX(CHOOSE(MATCH($X11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11" t="str" cm="1">
        <f t="array" ref="AU11">IFERROR(INDEX(CHOOSE(MATCH($X11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11" t="str" cm="1">
        <f t="array" ref="AV11">IFERROR(INDEX(CHOOSE(MATCH($X11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11" t="str" cm="1">
        <f t="array" ref="AW11">IFERROR(INDEX(CHOOSE(MATCH($X11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11" t="str" cm="1">
        <f t="array" ref="AX11">IFERROR(INDEX(CHOOSE(MATCH($X11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11" t="str" cm="1">
        <f t="array" ref="AY11">IFERROR(INDEX(CHOOSE(MATCH($X11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11" t="str" cm="1">
        <f t="array" ref="AZ11">IFERROR(INDEX(CHOOSE(MATCH($X11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11" t="str" cm="1">
        <f t="array" ref="BA11">IFERROR(INDEX(CHOOSE(MATCH($X11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11" t="str" cm="1">
        <f t="array" ref="BB11">IFERROR(INDEX(CHOOSE(MATCH($X11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11" t="str" cm="1">
        <f t="array" ref="BC11">IFERROR(INDEX(CHOOSE(MATCH($X11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11" t="str" cm="1">
        <f t="array" ref="BD11">IFERROR(INDEX(CHOOSE(MATCH($X11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11" t="str" cm="1">
        <f t="array" ref="BE11">IFERROR(INDEX(CHOOSE(MATCH($X11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11" t="str" cm="1">
        <f t="array" ref="BF11">IFERROR(INDEX(CHOOSE(MATCH($X11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11" t="str" cm="1">
        <f t="array" ref="BG11">IFERROR(INDEX(CHOOSE(MATCH($X11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11" s="4">
        <f>AVERAGE(Table2[[#This Row],[11-Mar]:[Column33]])</f>
        <v>0</v>
      </c>
      <c r="BJ11">
        <f>COUNT(Table2[[#This Row],[11-Mar]:[Column33]])</f>
        <v>2</v>
      </c>
    </row>
    <row r="12" spans="1:62" x14ac:dyDescent="0.45">
      <c r="A12" s="34">
        <v>46099</v>
      </c>
      <c r="B12" t="s">
        <v>36</v>
      </c>
      <c r="C12">
        <v>3</v>
      </c>
      <c r="E12" t="s">
        <v>45</v>
      </c>
      <c r="F12">
        <v>0</v>
      </c>
      <c r="T12">
        <f t="shared" si="0"/>
        <v>3</v>
      </c>
      <c r="X12" t="s">
        <v>59</v>
      </c>
      <c r="Z12" s="6"/>
      <c r="AA12" s="10" t="e">
        <f>AVERAGE(Table2[[#This Row],[11-Mar]:[Column33]])</f>
        <v>#DIV/0!</v>
      </c>
      <c r="AC12" t="str" cm="1">
        <f t="array" ref="AC12">IFERROR(INDEX(CHOOSE(MATCH($X12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12" t="str" cm="1">
        <f t="array" ref="AD12">IFERROR(INDEX(CHOOSE(MATCH($X12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12" t="str" cm="1">
        <f t="array" ref="AE12">IFERROR(INDEX(CHOOSE(MATCH($X12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12" t="str" cm="1">
        <f t="array" ref="AF12">IFERROR(INDEX(CHOOSE(MATCH($X12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12" t="str" cm="1">
        <f t="array" ref="AG12">IFERROR(INDEX(CHOOSE(MATCH($X12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12" t="str" cm="1">
        <f t="array" ref="AH12">IFERROR(INDEX(CHOOSE(MATCH($X12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12" t="str" cm="1">
        <f t="array" ref="AI12">IFERROR(INDEX(CHOOSE(MATCH($X12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12" t="str" cm="1">
        <f t="array" ref="AJ12">IFERROR(INDEX(CHOOSE(MATCH($X12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12" t="str" cm="1">
        <f t="array" ref="AK12">IFERROR(INDEX(CHOOSE(MATCH($X12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12" t="str" cm="1">
        <f t="array" ref="AL12">IFERROR(INDEX(CHOOSE(MATCH($X12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12" t="str" cm="1">
        <f t="array" ref="AM12">IFERROR(INDEX(CHOOSE(MATCH($X12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12" t="str" cm="1">
        <f t="array" ref="AN12">IFERROR(INDEX(CHOOSE(MATCH($X12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12" t="str" cm="1">
        <f t="array" ref="AO12">IFERROR(INDEX(CHOOSE(MATCH($X12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12" t="str" cm="1">
        <f t="array" ref="AP12">IFERROR(INDEX(CHOOSE(MATCH($X12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12" t="str" cm="1">
        <f t="array" ref="AQ12">IFERROR(INDEX(CHOOSE(MATCH($X12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12" t="str" cm="1">
        <f t="array" ref="AR12">IFERROR(INDEX(CHOOSE(MATCH($X12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12" t="str" cm="1">
        <f t="array" ref="AS12">IFERROR(INDEX(CHOOSE(MATCH($X12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12" t="str" cm="1">
        <f t="array" ref="AT12">IFERROR(INDEX(CHOOSE(MATCH($X12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12" t="str" cm="1">
        <f t="array" ref="AU12">IFERROR(INDEX(CHOOSE(MATCH($X12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12" t="str" cm="1">
        <f t="array" ref="AV12">IFERROR(INDEX(CHOOSE(MATCH($X12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12" t="str" cm="1">
        <f t="array" ref="AW12">IFERROR(INDEX(CHOOSE(MATCH($X12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12" t="str" cm="1">
        <f t="array" ref="AX12">IFERROR(INDEX(CHOOSE(MATCH($X12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12" t="str" cm="1">
        <f t="array" ref="AY12">IFERROR(INDEX(CHOOSE(MATCH($X12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12" t="str" cm="1">
        <f t="array" ref="AZ12">IFERROR(INDEX(CHOOSE(MATCH($X12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12" t="str" cm="1">
        <f t="array" ref="BA12">IFERROR(INDEX(CHOOSE(MATCH($X12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12" t="str" cm="1">
        <f t="array" ref="BB12">IFERROR(INDEX(CHOOSE(MATCH($X12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12" t="str" cm="1">
        <f t="array" ref="BC12">IFERROR(INDEX(CHOOSE(MATCH($X12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12" t="str" cm="1">
        <f t="array" ref="BD12">IFERROR(INDEX(CHOOSE(MATCH($X12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12" t="str" cm="1">
        <f t="array" ref="BE12">IFERROR(INDEX(CHOOSE(MATCH($X12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12" t="str" cm="1">
        <f t="array" ref="BF12">IFERROR(INDEX(CHOOSE(MATCH($X12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12" t="str" cm="1">
        <f t="array" ref="BG12">IFERROR(INDEX(CHOOSE(MATCH($X12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12" s="4" t="e">
        <f>AVERAGE(Table2[[#This Row],[11-Mar]:[Column33]])</f>
        <v>#DIV/0!</v>
      </c>
      <c r="BJ12">
        <f>COUNT(Table2[[#This Row],[11-Mar]:[Column33]])</f>
        <v>0</v>
      </c>
    </row>
    <row r="13" spans="1:62" x14ac:dyDescent="0.45">
      <c r="A13" s="34">
        <v>46106</v>
      </c>
      <c r="B13" t="s">
        <v>27</v>
      </c>
      <c r="C13">
        <v>5</v>
      </c>
      <c r="D13" s="37">
        <v>1</v>
      </c>
      <c r="E13" t="s">
        <v>49</v>
      </c>
      <c r="F13">
        <v>2</v>
      </c>
      <c r="H13" t="s">
        <v>39</v>
      </c>
      <c r="I13">
        <v>3</v>
      </c>
      <c r="T13">
        <f t="shared" si="0"/>
        <v>10</v>
      </c>
      <c r="V13" s="37">
        <v>1</v>
      </c>
      <c r="X13" t="s">
        <v>39</v>
      </c>
      <c r="Y13">
        <v>1</v>
      </c>
      <c r="Z13" s="6"/>
      <c r="AA13" s="10">
        <f>AVERAGE(Table2[[#This Row],[11-Mar]:[Column33]])</f>
        <v>0.8571428571428571</v>
      </c>
      <c r="AB13">
        <v>0</v>
      </c>
      <c r="AC13">
        <v>1</v>
      </c>
      <c r="AD13">
        <v>3</v>
      </c>
      <c r="AE13">
        <v>0</v>
      </c>
      <c r="AF13" t="str" cm="1">
        <f t="array" ref="AF13">IFERROR(INDEX(CHOOSE(MATCH($X13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13">
        <v>3</v>
      </c>
      <c r="AH13" t="str" cm="1">
        <f t="array" ref="AH13">IFERROR(INDEX(CHOOSE(MATCH($X13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13">
        <v>-2</v>
      </c>
      <c r="AJ13">
        <v>1</v>
      </c>
      <c r="AK13" t="str" cm="1">
        <f t="array" ref="AK13">IFERROR(INDEX(CHOOSE(MATCH($X13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13" t="str" cm="1">
        <f t="array" ref="AL13">IFERROR(INDEX(CHOOSE(MATCH($X13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13" t="str" cm="1">
        <f t="array" ref="AM13">IFERROR(INDEX(CHOOSE(MATCH($X13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13" t="str" cm="1">
        <f t="array" ref="AN13">IFERROR(INDEX(CHOOSE(MATCH($X13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13" t="str" cm="1">
        <f t="array" ref="AO13">IFERROR(INDEX(CHOOSE(MATCH($X13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13" t="str" cm="1">
        <f t="array" ref="AP13">IFERROR(INDEX(CHOOSE(MATCH($X13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13" t="str" cm="1">
        <f t="array" ref="AQ13">IFERROR(INDEX(CHOOSE(MATCH($X13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13" t="str" cm="1">
        <f t="array" ref="AR13">IFERROR(INDEX(CHOOSE(MATCH($X13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13" t="str" cm="1">
        <f t="array" ref="AS13">IFERROR(INDEX(CHOOSE(MATCH($X13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13" t="str" cm="1">
        <f t="array" ref="AT13">IFERROR(INDEX(CHOOSE(MATCH($X13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13" t="str" cm="1">
        <f t="array" ref="AU13">IFERROR(INDEX(CHOOSE(MATCH($X13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13" t="str" cm="1">
        <f t="array" ref="AV13">IFERROR(INDEX(CHOOSE(MATCH($X13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13" t="str" cm="1">
        <f t="array" ref="AW13">IFERROR(INDEX(CHOOSE(MATCH($X13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13" t="str" cm="1">
        <f t="array" ref="AX13">IFERROR(INDEX(CHOOSE(MATCH($X13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13" t="str" cm="1">
        <f t="array" ref="AY13">IFERROR(INDEX(CHOOSE(MATCH($X13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13" t="str" cm="1">
        <f t="array" ref="AZ13">IFERROR(INDEX(CHOOSE(MATCH($X13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13" t="str" cm="1">
        <f t="array" ref="BA13">IFERROR(INDEX(CHOOSE(MATCH($X13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13" t="str" cm="1">
        <f t="array" ref="BB13">IFERROR(INDEX(CHOOSE(MATCH($X13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13" t="str" cm="1">
        <f t="array" ref="BC13">IFERROR(INDEX(CHOOSE(MATCH($X13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13" t="str" cm="1">
        <f t="array" ref="BD13">IFERROR(INDEX(CHOOSE(MATCH($X13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13" t="str" cm="1">
        <f t="array" ref="BE13">IFERROR(INDEX(CHOOSE(MATCH($X13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13" t="str" cm="1">
        <f t="array" ref="BF13">IFERROR(INDEX(CHOOSE(MATCH($X13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13" t="str" cm="1">
        <f t="array" ref="BG13">IFERROR(INDEX(CHOOSE(MATCH($X13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13" s="4">
        <f>AVERAGE(Table2[[#This Row],[11-Mar]:[Column33]])</f>
        <v>0.8571428571428571</v>
      </c>
      <c r="BJ13">
        <f>COUNT(Table2[[#This Row],[11-Mar]:[Column33]])</f>
        <v>7</v>
      </c>
    </row>
    <row r="14" spans="1:62" x14ac:dyDescent="0.45">
      <c r="A14" s="34">
        <v>46106</v>
      </c>
      <c r="B14" t="s">
        <v>71</v>
      </c>
      <c r="C14">
        <v>-4</v>
      </c>
      <c r="E14" t="s">
        <v>145</v>
      </c>
      <c r="F14">
        <v>-1</v>
      </c>
      <c r="H14" t="s">
        <v>29</v>
      </c>
      <c r="I14">
        <v>6</v>
      </c>
      <c r="T14">
        <f t="shared" si="0"/>
        <v>1</v>
      </c>
      <c r="X14" t="s">
        <v>51</v>
      </c>
      <c r="Z14" s="6"/>
      <c r="AA14" s="10" t="e">
        <f>AVERAGE(Table2[[#This Row],[11-Mar]:[Column33]])</f>
        <v>#DIV/0!</v>
      </c>
      <c r="AC14" t="str" cm="1">
        <f t="array" ref="AC14">IFERROR(INDEX(CHOOSE(MATCH($X14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14" t="str" cm="1">
        <f t="array" ref="AD14">IFERROR(INDEX(CHOOSE(MATCH($X14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14" t="str" cm="1">
        <f t="array" ref="AE14">IFERROR(INDEX(CHOOSE(MATCH($X14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14" t="str" cm="1">
        <f t="array" ref="AF14">IFERROR(INDEX(CHOOSE(MATCH($X14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14" t="str" cm="1">
        <f t="array" ref="AG14">IFERROR(INDEX(CHOOSE(MATCH($X14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14" t="str" cm="1">
        <f t="array" ref="AH14">IFERROR(INDEX(CHOOSE(MATCH($X14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14" t="str" cm="1">
        <f t="array" ref="AI14">IFERROR(INDEX(CHOOSE(MATCH($X14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14" t="str" cm="1">
        <f t="array" ref="AJ14">IFERROR(INDEX(CHOOSE(MATCH($X14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14" t="str" cm="1">
        <f t="array" ref="AK14">IFERROR(INDEX(CHOOSE(MATCH($X14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14" t="str" cm="1">
        <f t="array" ref="AL14">IFERROR(INDEX(CHOOSE(MATCH($X14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14" t="str" cm="1">
        <f t="array" ref="AM14">IFERROR(INDEX(CHOOSE(MATCH($X14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14" t="str" cm="1">
        <f t="array" ref="AN14">IFERROR(INDEX(CHOOSE(MATCH($X14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14" t="str" cm="1">
        <f t="array" ref="AO14">IFERROR(INDEX(CHOOSE(MATCH($X14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14" t="str" cm="1">
        <f t="array" ref="AP14">IFERROR(INDEX(CHOOSE(MATCH($X14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14" t="str" cm="1">
        <f t="array" ref="AQ14">IFERROR(INDEX(CHOOSE(MATCH($X14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14" t="str" cm="1">
        <f t="array" ref="AR14">IFERROR(INDEX(CHOOSE(MATCH($X14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14" t="str" cm="1">
        <f t="array" ref="AS14">IFERROR(INDEX(CHOOSE(MATCH($X14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14" t="str" cm="1">
        <f t="array" ref="AT14">IFERROR(INDEX(CHOOSE(MATCH($X14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14" t="str" cm="1">
        <f t="array" ref="AU14">IFERROR(INDEX(CHOOSE(MATCH($X14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14" t="str" cm="1">
        <f t="array" ref="AV14">IFERROR(INDEX(CHOOSE(MATCH($X14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14" t="str" cm="1">
        <f t="array" ref="AW14">IFERROR(INDEX(CHOOSE(MATCH($X14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14" t="str" cm="1">
        <f t="array" ref="AX14">IFERROR(INDEX(CHOOSE(MATCH($X14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14" t="str" cm="1">
        <f t="array" ref="AY14">IFERROR(INDEX(CHOOSE(MATCH($X14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14" t="str" cm="1">
        <f t="array" ref="AZ14">IFERROR(INDEX(CHOOSE(MATCH($X14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14" t="str" cm="1">
        <f t="array" ref="BA14">IFERROR(INDEX(CHOOSE(MATCH($X14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14" t="str" cm="1">
        <f t="array" ref="BB14">IFERROR(INDEX(CHOOSE(MATCH($X14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14" t="str" cm="1">
        <f t="array" ref="BC14">IFERROR(INDEX(CHOOSE(MATCH($X14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14" t="str" cm="1">
        <f t="array" ref="BD14">IFERROR(INDEX(CHOOSE(MATCH($X14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14" t="str" cm="1">
        <f t="array" ref="BE14">IFERROR(INDEX(CHOOSE(MATCH($X14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14" t="str" cm="1">
        <f t="array" ref="BF14">IFERROR(INDEX(CHOOSE(MATCH($X14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14" t="str" cm="1">
        <f t="array" ref="BG14">IFERROR(INDEX(CHOOSE(MATCH($X14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14" s="4" t="e">
        <f>AVERAGE(Table2[[#This Row],[11-Mar]:[Column33]])</f>
        <v>#DIV/0!</v>
      </c>
      <c r="BJ14">
        <f>COUNT(Table2[[#This Row],[11-Mar]:[Column33]])</f>
        <v>0</v>
      </c>
    </row>
    <row r="15" spans="1:62" x14ac:dyDescent="0.45">
      <c r="A15" s="34">
        <v>46106</v>
      </c>
      <c r="B15" t="s">
        <v>36</v>
      </c>
      <c r="C15">
        <v>3</v>
      </c>
      <c r="E15" t="s">
        <v>46</v>
      </c>
      <c r="F15">
        <v>4</v>
      </c>
      <c r="H15" t="s">
        <v>32</v>
      </c>
      <c r="I15">
        <v>3</v>
      </c>
      <c r="T15">
        <f t="shared" si="0"/>
        <v>10</v>
      </c>
      <c r="X15" t="s">
        <v>61</v>
      </c>
      <c r="Z15" s="6"/>
      <c r="AA15" s="10" t="e">
        <f>AVERAGE(Table2[[#This Row],[11-Mar]:[Column33]])</f>
        <v>#DIV/0!</v>
      </c>
      <c r="AC15" t="str" cm="1">
        <f t="array" ref="AC15">IFERROR(INDEX(CHOOSE(MATCH($X15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15" t="str" cm="1">
        <f t="array" ref="AD15">IFERROR(INDEX(CHOOSE(MATCH($X15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15" t="str" cm="1">
        <f t="array" ref="AE15">IFERROR(INDEX(CHOOSE(MATCH($X15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15" t="str" cm="1">
        <f t="array" ref="AF15">IFERROR(INDEX(CHOOSE(MATCH($X15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15" t="str" cm="1">
        <f t="array" ref="AG15">IFERROR(INDEX(CHOOSE(MATCH($X15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15" t="str" cm="1">
        <f t="array" ref="AH15">IFERROR(INDEX(CHOOSE(MATCH($X15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15" t="str" cm="1">
        <f t="array" ref="AI15">IFERROR(INDEX(CHOOSE(MATCH($X15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15" t="str" cm="1">
        <f t="array" ref="AJ15">IFERROR(INDEX(CHOOSE(MATCH($X15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15" t="str" cm="1">
        <f t="array" ref="AK15">IFERROR(INDEX(CHOOSE(MATCH($X15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15" t="str" cm="1">
        <f t="array" ref="AL15">IFERROR(INDEX(CHOOSE(MATCH($X15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15" t="str" cm="1">
        <f t="array" ref="AM15">IFERROR(INDEX(CHOOSE(MATCH($X15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15" t="str" cm="1">
        <f t="array" ref="AN15">IFERROR(INDEX(CHOOSE(MATCH($X15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15" t="str" cm="1">
        <f t="array" ref="AO15">IFERROR(INDEX(CHOOSE(MATCH($X15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15" t="str" cm="1">
        <f t="array" ref="AP15">IFERROR(INDEX(CHOOSE(MATCH($X15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15" t="str" cm="1">
        <f t="array" ref="AQ15">IFERROR(INDEX(CHOOSE(MATCH($X15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15" t="str" cm="1">
        <f t="array" ref="AR15">IFERROR(INDEX(CHOOSE(MATCH($X15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15" t="str" cm="1">
        <f t="array" ref="AS15">IFERROR(INDEX(CHOOSE(MATCH($X15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15" t="str" cm="1">
        <f t="array" ref="AT15">IFERROR(INDEX(CHOOSE(MATCH($X15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15" t="str" cm="1">
        <f t="array" ref="AU15">IFERROR(INDEX(CHOOSE(MATCH($X15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15" t="str" cm="1">
        <f t="array" ref="AV15">IFERROR(INDEX(CHOOSE(MATCH($X15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15" t="str" cm="1">
        <f t="array" ref="AW15">IFERROR(INDEX(CHOOSE(MATCH($X15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15" t="str" cm="1">
        <f t="array" ref="AX15">IFERROR(INDEX(CHOOSE(MATCH($X15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15" t="str" cm="1">
        <f t="array" ref="AY15">IFERROR(INDEX(CHOOSE(MATCH($X15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15" t="str" cm="1">
        <f t="array" ref="AZ15">IFERROR(INDEX(CHOOSE(MATCH($X15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15" t="str" cm="1">
        <f t="array" ref="BA15">IFERROR(INDEX(CHOOSE(MATCH($X15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15" t="str" cm="1">
        <f t="array" ref="BB15">IFERROR(INDEX(CHOOSE(MATCH($X15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15" t="str" cm="1">
        <f t="array" ref="BC15">IFERROR(INDEX(CHOOSE(MATCH($X15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15" t="str" cm="1">
        <f t="array" ref="BD15">IFERROR(INDEX(CHOOSE(MATCH($X15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15" t="str" cm="1">
        <f t="array" ref="BE15">IFERROR(INDEX(CHOOSE(MATCH($X15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15" t="str" cm="1">
        <f t="array" ref="BF15">IFERROR(INDEX(CHOOSE(MATCH($X15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15" t="str" cm="1">
        <f t="array" ref="BG15">IFERROR(INDEX(CHOOSE(MATCH($X15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15" s="4" t="e">
        <f>AVERAGE(Table2[[#This Row],[11-Mar]:[Column33]])</f>
        <v>#DIV/0!</v>
      </c>
      <c r="BJ15">
        <f>COUNT(Table2[[#This Row],[11-Mar]:[Column33]])</f>
        <v>0</v>
      </c>
    </row>
    <row r="16" spans="1:62" x14ac:dyDescent="0.45">
      <c r="A16" s="34">
        <v>46106</v>
      </c>
      <c r="B16" t="s">
        <v>104</v>
      </c>
      <c r="C16">
        <v>3</v>
      </c>
      <c r="E16" t="s">
        <v>40</v>
      </c>
      <c r="F16">
        <v>0</v>
      </c>
      <c r="G16" s="37">
        <v>1</v>
      </c>
      <c r="H16" t="s">
        <v>42</v>
      </c>
      <c r="I16">
        <v>4</v>
      </c>
      <c r="T16">
        <f t="shared" si="0"/>
        <v>7</v>
      </c>
      <c r="V16" s="37">
        <v>1</v>
      </c>
      <c r="X16" t="s">
        <v>64</v>
      </c>
      <c r="Z16" s="6">
        <v>2</v>
      </c>
      <c r="AA16" s="10">
        <f>AVERAGE(Table2[[#This Row],[11-Mar]:[Column33]])</f>
        <v>0.5</v>
      </c>
      <c r="AC16" t="str" cm="1">
        <f t="array" ref="AC16">IFERROR(INDEX(CHOOSE(MATCH($X16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16" t="str" cm="1">
        <f t="array" ref="AD16">IFERROR(INDEX(CHOOSE(MATCH($X16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16" t="str" cm="1">
        <f t="array" ref="AE16">IFERROR(INDEX(CHOOSE(MATCH($X16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16" t="str" cm="1">
        <f t="array" ref="AF16">IFERROR(INDEX(CHOOSE(MATCH($X16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16" t="str" cm="1">
        <f t="array" ref="AG16">IFERROR(INDEX(CHOOSE(MATCH($X16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16">
        <v>0</v>
      </c>
      <c r="AI16">
        <v>1</v>
      </c>
      <c r="AJ16" t="str" cm="1">
        <f t="array" ref="AJ16">IFERROR(INDEX(CHOOSE(MATCH($X16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16" t="str" cm="1">
        <f t="array" ref="AK16">IFERROR(INDEX(CHOOSE(MATCH($X16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16" t="str" cm="1">
        <f t="array" ref="AL16">IFERROR(INDEX(CHOOSE(MATCH($X16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16" t="str" cm="1">
        <f t="array" ref="AM16">IFERROR(INDEX(CHOOSE(MATCH($X16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16" t="str" cm="1">
        <f t="array" ref="AN16">IFERROR(INDEX(CHOOSE(MATCH($X16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16" t="str" cm="1">
        <f t="array" ref="AO16">IFERROR(INDEX(CHOOSE(MATCH($X16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16" t="str" cm="1">
        <f t="array" ref="AP16">IFERROR(INDEX(CHOOSE(MATCH($X16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16" t="str" cm="1">
        <f t="array" ref="AQ16">IFERROR(INDEX(CHOOSE(MATCH($X16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16" t="str" cm="1">
        <f t="array" ref="AR16">IFERROR(INDEX(CHOOSE(MATCH($X16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16" t="str" cm="1">
        <f t="array" ref="AS16">IFERROR(INDEX(CHOOSE(MATCH($X16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16" t="str" cm="1">
        <f t="array" ref="AT16">IFERROR(INDEX(CHOOSE(MATCH($X16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16" t="str" cm="1">
        <f t="array" ref="AU16">IFERROR(INDEX(CHOOSE(MATCH($X16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16" t="str" cm="1">
        <f t="array" ref="AV16">IFERROR(INDEX(CHOOSE(MATCH($X16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16" t="str" cm="1">
        <f t="array" ref="AW16">IFERROR(INDEX(CHOOSE(MATCH($X16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16" t="str" cm="1">
        <f t="array" ref="AX16">IFERROR(INDEX(CHOOSE(MATCH($X16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16" t="str" cm="1">
        <f t="array" ref="AY16">IFERROR(INDEX(CHOOSE(MATCH($X16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16" t="str" cm="1">
        <f t="array" ref="AZ16">IFERROR(INDEX(CHOOSE(MATCH($X16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16" t="str" cm="1">
        <f t="array" ref="BA16">IFERROR(INDEX(CHOOSE(MATCH($X16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16" t="str" cm="1">
        <f t="array" ref="BB16">IFERROR(INDEX(CHOOSE(MATCH($X16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16" t="str" cm="1">
        <f t="array" ref="BC16">IFERROR(INDEX(CHOOSE(MATCH($X16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16" t="str" cm="1">
        <f t="array" ref="BD16">IFERROR(INDEX(CHOOSE(MATCH($X16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16" t="str" cm="1">
        <f t="array" ref="BE16">IFERROR(INDEX(CHOOSE(MATCH($X16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16" t="str" cm="1">
        <f t="array" ref="BF16">IFERROR(INDEX(CHOOSE(MATCH($X16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16" t="str" cm="1">
        <f t="array" ref="BG16">IFERROR(INDEX(CHOOSE(MATCH($X16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16" s="4">
        <f>AVERAGE(Table2[[#This Row],[11-Mar]:[Column33]])</f>
        <v>0.5</v>
      </c>
      <c r="BJ16">
        <f>COUNT(Table2[[#This Row],[11-Mar]:[Column33]])</f>
        <v>2</v>
      </c>
    </row>
    <row r="17" spans="1:62" x14ac:dyDescent="0.45">
      <c r="A17" s="38">
        <v>46106</v>
      </c>
      <c r="B17" s="39" t="s">
        <v>31</v>
      </c>
      <c r="C17" s="39">
        <v>0</v>
      </c>
      <c r="D17" s="39"/>
      <c r="E17" s="39" t="s">
        <v>98</v>
      </c>
      <c r="F17" s="39">
        <v>0</v>
      </c>
      <c r="G17" s="39"/>
      <c r="H17" s="39" t="s">
        <v>69</v>
      </c>
      <c r="I17" s="39">
        <v>-3</v>
      </c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>
        <f t="shared" si="0"/>
        <v>-3</v>
      </c>
      <c r="U17" s="39" t="s">
        <v>146</v>
      </c>
      <c r="X17" t="s">
        <v>105</v>
      </c>
      <c r="Z17" s="6"/>
      <c r="AA17" s="10">
        <f>AVERAGE(Table2[[#This Row],[11-Mar]:[Column33]])</f>
        <v>2</v>
      </c>
      <c r="AC17" t="str" cm="1">
        <f t="array" ref="AC17">IFERROR(INDEX(CHOOSE(MATCH($X17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17" t="str" cm="1">
        <f t="array" ref="AD17">IFERROR(INDEX(CHOOSE(MATCH($X17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17">
        <v>2</v>
      </c>
      <c r="AF17" t="str" cm="1">
        <f t="array" ref="AF17">IFERROR(INDEX(CHOOSE(MATCH($X17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17" t="str" cm="1">
        <f t="array" ref="AG17">IFERROR(INDEX(CHOOSE(MATCH($X17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17" t="str" cm="1">
        <f t="array" ref="AH17">IFERROR(INDEX(CHOOSE(MATCH($X17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17" t="str" cm="1">
        <f t="array" ref="AI17">IFERROR(INDEX(CHOOSE(MATCH($X17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17" t="str" cm="1">
        <f t="array" ref="AJ17">IFERROR(INDEX(CHOOSE(MATCH($X17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17" t="str" cm="1">
        <f t="array" ref="AK17">IFERROR(INDEX(CHOOSE(MATCH($X17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17" t="str" cm="1">
        <f t="array" ref="AL17">IFERROR(INDEX(CHOOSE(MATCH($X17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17" t="str" cm="1">
        <f t="array" ref="AM17">IFERROR(INDEX(CHOOSE(MATCH($X17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17" t="str" cm="1">
        <f t="array" ref="AN17">IFERROR(INDEX(CHOOSE(MATCH($X17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17" t="str" cm="1">
        <f t="array" ref="AO17">IFERROR(INDEX(CHOOSE(MATCH($X17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17" t="str" cm="1">
        <f t="array" ref="AP17">IFERROR(INDEX(CHOOSE(MATCH($X17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17" t="str" cm="1">
        <f t="array" ref="AQ17">IFERROR(INDEX(CHOOSE(MATCH($X17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17" t="str" cm="1">
        <f t="array" ref="AR17">IFERROR(INDEX(CHOOSE(MATCH($X17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17" t="str" cm="1">
        <f t="array" ref="AS17">IFERROR(INDEX(CHOOSE(MATCH($X17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17" t="str" cm="1">
        <f t="array" ref="AT17">IFERROR(INDEX(CHOOSE(MATCH($X17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17" t="str" cm="1">
        <f t="array" ref="AU17">IFERROR(INDEX(CHOOSE(MATCH($X17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17" t="str" cm="1">
        <f t="array" ref="AV17">IFERROR(INDEX(CHOOSE(MATCH($X17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17" t="str" cm="1">
        <f t="array" ref="AW17">IFERROR(INDEX(CHOOSE(MATCH($X17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17" t="str" cm="1">
        <f t="array" ref="AX17">IFERROR(INDEX(CHOOSE(MATCH($X17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17" t="str" cm="1">
        <f t="array" ref="AY17">IFERROR(INDEX(CHOOSE(MATCH($X17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17" t="str" cm="1">
        <f t="array" ref="AZ17">IFERROR(INDEX(CHOOSE(MATCH($X17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17" t="str" cm="1">
        <f t="array" ref="BA17">IFERROR(INDEX(CHOOSE(MATCH($X17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17" t="str" cm="1">
        <f t="array" ref="BB17">IFERROR(INDEX(CHOOSE(MATCH($X17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17" t="str" cm="1">
        <f t="array" ref="BC17">IFERROR(INDEX(CHOOSE(MATCH($X17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17" t="str" cm="1">
        <f t="array" ref="BD17">IFERROR(INDEX(CHOOSE(MATCH($X17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17" t="str" cm="1">
        <f t="array" ref="BE17">IFERROR(INDEX(CHOOSE(MATCH($X17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17" t="str" cm="1">
        <f t="array" ref="BF17">IFERROR(INDEX(CHOOSE(MATCH($X17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17" t="str" cm="1">
        <f t="array" ref="BG17">IFERROR(INDEX(CHOOSE(MATCH($X17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17" s="4">
        <f>AVERAGE(Table2[[#This Row],[11-Mar]:[Column33]])</f>
        <v>2</v>
      </c>
      <c r="BJ17">
        <f>COUNT(Table2[[#This Row],[11-Mar]:[Column33]])</f>
        <v>1</v>
      </c>
    </row>
    <row r="18" spans="1:62" x14ac:dyDescent="0.45">
      <c r="A18" s="34">
        <v>46106</v>
      </c>
      <c r="B18" t="s">
        <v>144</v>
      </c>
      <c r="C18">
        <v>6</v>
      </c>
      <c r="E18" t="s">
        <v>50</v>
      </c>
      <c r="F18">
        <v>3</v>
      </c>
      <c r="H18" t="s">
        <v>33</v>
      </c>
      <c r="I18">
        <v>1</v>
      </c>
      <c r="T18">
        <f t="shared" si="0"/>
        <v>10</v>
      </c>
      <c r="X18" t="s">
        <v>67</v>
      </c>
      <c r="Z18" s="6"/>
      <c r="AA18" s="10">
        <f>AVERAGE(Table2[[#This Row],[11-Mar]:[Column33]])</f>
        <v>-1</v>
      </c>
      <c r="AC18" t="str" cm="1">
        <f t="array" ref="AC18">IFERROR(INDEX(CHOOSE(MATCH($X18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18" t="str" cm="1">
        <f t="array" ref="AD18">IFERROR(INDEX(CHOOSE(MATCH($X18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18" t="str" cm="1">
        <f t="array" ref="AE18">IFERROR(INDEX(CHOOSE(MATCH($X18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18">
        <v>-1</v>
      </c>
      <c r="AG18">
        <v>-1</v>
      </c>
      <c r="AH18" t="str" cm="1">
        <f t="array" ref="AH18">IFERROR(INDEX(CHOOSE(MATCH($X18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18" t="str" cm="1">
        <f t="array" ref="AI18">IFERROR(INDEX(CHOOSE(MATCH($X18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18" t="str" cm="1">
        <f t="array" ref="AJ18">IFERROR(INDEX(CHOOSE(MATCH($X18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18" t="str" cm="1">
        <f t="array" ref="AK18">IFERROR(INDEX(CHOOSE(MATCH($X18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18" t="str" cm="1">
        <f t="array" ref="AL18">IFERROR(INDEX(CHOOSE(MATCH($X18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18" t="str" cm="1">
        <f t="array" ref="AM18">IFERROR(INDEX(CHOOSE(MATCH($X18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18" t="str" cm="1">
        <f t="array" ref="AN18">IFERROR(INDEX(CHOOSE(MATCH($X18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18" t="str" cm="1">
        <f t="array" ref="AO18">IFERROR(INDEX(CHOOSE(MATCH($X18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18" t="str" cm="1">
        <f t="array" ref="AP18">IFERROR(INDEX(CHOOSE(MATCH($X18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18" t="str" cm="1">
        <f t="array" ref="AQ18">IFERROR(INDEX(CHOOSE(MATCH($X18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18" t="str" cm="1">
        <f t="array" ref="AR18">IFERROR(INDEX(CHOOSE(MATCH($X18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18" t="str" cm="1">
        <f t="array" ref="AS18">IFERROR(INDEX(CHOOSE(MATCH($X18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18" t="str" cm="1">
        <f t="array" ref="AT18">IFERROR(INDEX(CHOOSE(MATCH($X18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18" t="str" cm="1">
        <f t="array" ref="AU18">IFERROR(INDEX(CHOOSE(MATCH($X18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18" t="str" cm="1">
        <f t="array" ref="AV18">IFERROR(INDEX(CHOOSE(MATCH($X18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18" t="str" cm="1">
        <f t="array" ref="AW18">IFERROR(INDEX(CHOOSE(MATCH($X18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18" t="str" cm="1">
        <f t="array" ref="AX18">IFERROR(INDEX(CHOOSE(MATCH($X18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18" t="str" cm="1">
        <f t="array" ref="AY18">IFERROR(INDEX(CHOOSE(MATCH($X18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18" t="str" cm="1">
        <f t="array" ref="AZ18">IFERROR(INDEX(CHOOSE(MATCH($X18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18" t="str" cm="1">
        <f t="array" ref="BA18">IFERROR(INDEX(CHOOSE(MATCH($X18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18" t="str" cm="1">
        <f t="array" ref="BB18">IFERROR(INDEX(CHOOSE(MATCH($X18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18" t="str" cm="1">
        <f t="array" ref="BC18">IFERROR(INDEX(CHOOSE(MATCH($X18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18" t="str" cm="1">
        <f t="array" ref="BD18">IFERROR(INDEX(CHOOSE(MATCH($X18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18" t="str" cm="1">
        <f t="array" ref="BE18">IFERROR(INDEX(CHOOSE(MATCH($X18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18" t="str" cm="1">
        <f t="array" ref="BF18">IFERROR(INDEX(CHOOSE(MATCH($X18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18" t="str" cm="1">
        <f t="array" ref="BG18">IFERROR(INDEX(CHOOSE(MATCH($X18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18" s="4">
        <f>AVERAGE(Table2[[#This Row],[11-Mar]:[Column33]])</f>
        <v>-1</v>
      </c>
      <c r="BJ18">
        <f>COUNT(Table2[[#This Row],[11-Mar]:[Column33]])</f>
        <v>2</v>
      </c>
    </row>
    <row r="19" spans="1:62" x14ac:dyDescent="0.45">
      <c r="A19" s="34">
        <v>46106</v>
      </c>
      <c r="B19" t="s">
        <v>37</v>
      </c>
      <c r="C19">
        <v>3</v>
      </c>
      <c r="E19" t="s">
        <v>30</v>
      </c>
      <c r="F19">
        <v>-1</v>
      </c>
      <c r="H19" t="s">
        <v>28</v>
      </c>
      <c r="I19">
        <v>0</v>
      </c>
      <c r="T19">
        <f t="shared" si="0"/>
        <v>2</v>
      </c>
      <c r="X19" t="s">
        <v>69</v>
      </c>
      <c r="Z19" s="6">
        <v>2</v>
      </c>
      <c r="AA19" s="10">
        <f>AVERAGE(Table2[[#This Row],[11-Mar]:[Column33]])</f>
        <v>-0.33333333333333331</v>
      </c>
      <c r="AB19">
        <v>-4</v>
      </c>
      <c r="AC19" t="str" cm="1">
        <f t="array" ref="AC19">IFERROR(INDEX(CHOOSE(MATCH($X19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19">
        <v>-3</v>
      </c>
      <c r="AE19">
        <v>-1</v>
      </c>
      <c r="AF19">
        <v>2</v>
      </c>
      <c r="AG19">
        <v>2</v>
      </c>
      <c r="AH19">
        <v>2</v>
      </c>
      <c r="AI19" t="str" cm="1">
        <f t="array" ref="AI19">IFERROR(INDEX(CHOOSE(MATCH($X19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19" t="str" cm="1">
        <f t="array" ref="AJ19">IFERROR(INDEX(CHOOSE(MATCH($X19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19" t="str" cm="1">
        <f t="array" ref="AK19">IFERROR(INDEX(CHOOSE(MATCH($X19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19" t="str" cm="1">
        <f t="array" ref="AL19">IFERROR(INDEX(CHOOSE(MATCH($X19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19" t="str" cm="1">
        <f t="array" ref="AM19">IFERROR(INDEX(CHOOSE(MATCH($X19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19" t="str" cm="1">
        <f t="array" ref="AN19">IFERROR(INDEX(CHOOSE(MATCH($X19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19" t="str" cm="1">
        <f t="array" ref="AO19">IFERROR(INDEX(CHOOSE(MATCH($X19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19" t="str" cm="1">
        <f t="array" ref="AP19">IFERROR(INDEX(CHOOSE(MATCH($X19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19" t="str" cm="1">
        <f t="array" ref="AQ19">IFERROR(INDEX(CHOOSE(MATCH($X19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19" t="str" cm="1">
        <f t="array" ref="AR19">IFERROR(INDEX(CHOOSE(MATCH($X19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19" t="str" cm="1">
        <f t="array" ref="AS19">IFERROR(INDEX(CHOOSE(MATCH($X19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19" t="str" cm="1">
        <f t="array" ref="AT19">IFERROR(INDEX(CHOOSE(MATCH($X19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19" t="str" cm="1">
        <f t="array" ref="AU19">IFERROR(INDEX(CHOOSE(MATCH($X19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19" t="str" cm="1">
        <f t="array" ref="AV19">IFERROR(INDEX(CHOOSE(MATCH($X19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19" t="str" cm="1">
        <f t="array" ref="AW19">IFERROR(INDEX(CHOOSE(MATCH($X19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19" t="str" cm="1">
        <f t="array" ref="AX19">IFERROR(INDEX(CHOOSE(MATCH($X19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19" t="str" cm="1">
        <f t="array" ref="AY19">IFERROR(INDEX(CHOOSE(MATCH($X19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19" t="str" cm="1">
        <f t="array" ref="AZ19">IFERROR(INDEX(CHOOSE(MATCH($X19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19" t="str" cm="1">
        <f t="array" ref="BA19">IFERROR(INDEX(CHOOSE(MATCH($X19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19" t="str" cm="1">
        <f t="array" ref="BB19">IFERROR(INDEX(CHOOSE(MATCH($X19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19" t="str" cm="1">
        <f t="array" ref="BC19">IFERROR(INDEX(CHOOSE(MATCH($X19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19" t="str" cm="1">
        <f t="array" ref="BD19">IFERROR(INDEX(CHOOSE(MATCH($X19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19" t="str" cm="1">
        <f t="array" ref="BE19">IFERROR(INDEX(CHOOSE(MATCH($X19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19" t="str" cm="1">
        <f t="array" ref="BF19">IFERROR(INDEX(CHOOSE(MATCH($X19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19" t="str" cm="1">
        <f t="array" ref="BG19">IFERROR(INDEX(CHOOSE(MATCH($X19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19" s="4">
        <f>AVERAGE(Table2[[#This Row],[11-Mar]:[Column33]])</f>
        <v>-0.33333333333333331</v>
      </c>
      <c r="BJ19">
        <f>COUNT(Table2[[#This Row],[11-Mar]:[Column33]])</f>
        <v>6</v>
      </c>
    </row>
    <row r="20" spans="1:62" x14ac:dyDescent="0.45">
      <c r="A20" s="34">
        <v>46113</v>
      </c>
      <c r="B20" t="s">
        <v>148</v>
      </c>
      <c r="C20">
        <v>7</v>
      </c>
      <c r="E20" t="s">
        <v>149</v>
      </c>
      <c r="F20">
        <v>0</v>
      </c>
      <c r="H20" t="s">
        <v>29</v>
      </c>
      <c r="I20">
        <v>4</v>
      </c>
      <c r="T20">
        <f t="shared" si="0"/>
        <v>11</v>
      </c>
      <c r="X20" t="s">
        <v>70</v>
      </c>
      <c r="Z20" s="6"/>
      <c r="AA20" s="10" t="e">
        <f>AVERAGE(Table2[[#This Row],[11-Mar]:[Column33]])</f>
        <v>#DIV/0!</v>
      </c>
      <c r="AC20" t="str" cm="1">
        <f t="array" ref="AC20">IFERROR(INDEX(CHOOSE(MATCH($X20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20" t="str" cm="1">
        <f t="array" ref="AD20">IFERROR(INDEX(CHOOSE(MATCH($X20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20" t="str" cm="1">
        <f t="array" ref="AE20">IFERROR(INDEX(CHOOSE(MATCH($X20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20" t="str" cm="1">
        <f t="array" ref="AF20">IFERROR(INDEX(CHOOSE(MATCH($X20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20" t="str" cm="1">
        <f t="array" ref="AG20">IFERROR(INDEX(CHOOSE(MATCH($X20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20" t="str" cm="1">
        <f t="array" ref="AH20">IFERROR(INDEX(CHOOSE(MATCH($X20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20" t="str" cm="1">
        <f t="array" ref="AI20">IFERROR(INDEX(CHOOSE(MATCH($X20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20" t="str" cm="1">
        <f t="array" ref="AJ20">IFERROR(INDEX(CHOOSE(MATCH($X20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20" t="str" cm="1">
        <f t="array" ref="AK20">IFERROR(INDEX(CHOOSE(MATCH($X20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20" t="str" cm="1">
        <f t="array" ref="AL20">IFERROR(INDEX(CHOOSE(MATCH($X20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20" t="str" cm="1">
        <f t="array" ref="AM20">IFERROR(INDEX(CHOOSE(MATCH($X20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20" t="str" cm="1">
        <f t="array" ref="AN20">IFERROR(INDEX(CHOOSE(MATCH($X20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20" t="str" cm="1">
        <f t="array" ref="AO20">IFERROR(INDEX(CHOOSE(MATCH($X20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20" t="str" cm="1">
        <f t="array" ref="AP20">IFERROR(INDEX(CHOOSE(MATCH($X20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20" t="str" cm="1">
        <f t="array" ref="AQ20">IFERROR(INDEX(CHOOSE(MATCH($X20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20" t="str" cm="1">
        <f t="array" ref="AR20">IFERROR(INDEX(CHOOSE(MATCH($X20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20" t="str" cm="1">
        <f t="array" ref="AS20">IFERROR(INDEX(CHOOSE(MATCH($X20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20" t="str" cm="1">
        <f t="array" ref="AT20">IFERROR(INDEX(CHOOSE(MATCH($X20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20" t="str" cm="1">
        <f t="array" ref="AU20">IFERROR(INDEX(CHOOSE(MATCH($X20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20" t="str" cm="1">
        <f t="array" ref="AV20">IFERROR(INDEX(CHOOSE(MATCH($X20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20" t="str" cm="1">
        <f t="array" ref="AW20">IFERROR(INDEX(CHOOSE(MATCH($X20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20" t="str" cm="1">
        <f t="array" ref="AX20">IFERROR(INDEX(CHOOSE(MATCH($X20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20" t="str" cm="1">
        <f t="array" ref="AY20">IFERROR(INDEX(CHOOSE(MATCH($X20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20" t="str" cm="1">
        <f t="array" ref="AZ20">IFERROR(INDEX(CHOOSE(MATCH($X20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20" t="str" cm="1">
        <f t="array" ref="BA20">IFERROR(INDEX(CHOOSE(MATCH($X20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20" t="str" cm="1">
        <f t="array" ref="BB20">IFERROR(INDEX(CHOOSE(MATCH($X20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20" t="str" cm="1">
        <f t="array" ref="BC20">IFERROR(INDEX(CHOOSE(MATCH($X20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20" t="str" cm="1">
        <f t="array" ref="BD20">IFERROR(INDEX(CHOOSE(MATCH($X20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20" t="str" cm="1">
        <f t="array" ref="BE20">IFERROR(INDEX(CHOOSE(MATCH($X20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20" t="str" cm="1">
        <f t="array" ref="BF20">IFERROR(INDEX(CHOOSE(MATCH($X20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20" t="str" cm="1">
        <f t="array" ref="BG20">IFERROR(INDEX(CHOOSE(MATCH($X20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20" s="4" t="e">
        <f>AVERAGE(Table2[[#This Row],[11-Mar]:[Column33]])</f>
        <v>#DIV/0!</v>
      </c>
      <c r="BJ20">
        <f>COUNT(Table2[[#This Row],[11-Mar]:[Column33]])</f>
        <v>0</v>
      </c>
    </row>
    <row r="21" spans="1:62" x14ac:dyDescent="0.45">
      <c r="A21" s="34">
        <v>46113</v>
      </c>
      <c r="B21" t="s">
        <v>147</v>
      </c>
      <c r="C21">
        <v>-1</v>
      </c>
      <c r="E21" t="s">
        <v>60</v>
      </c>
      <c r="F21">
        <v>3</v>
      </c>
      <c r="H21" t="s">
        <v>55</v>
      </c>
      <c r="I21">
        <v>6</v>
      </c>
      <c r="T21">
        <f t="shared" si="0"/>
        <v>8</v>
      </c>
      <c r="X21" t="s">
        <v>66</v>
      </c>
      <c r="Z21" s="6"/>
      <c r="AA21" s="10">
        <f>AVERAGE(Table2[[#This Row],[11-Mar]:[Column33]])</f>
        <v>0</v>
      </c>
      <c r="AC21" t="str" cm="1">
        <f t="array" ref="AC21">IFERROR(INDEX(CHOOSE(MATCH($X21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21" t="str" cm="1">
        <f t="array" ref="AD21">IFERROR(INDEX(CHOOSE(MATCH($X21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21" t="str" cm="1">
        <f t="array" ref="AE21">IFERROR(INDEX(CHOOSE(MATCH($X21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21" t="str" cm="1">
        <f t="array" ref="AF21">IFERROR(INDEX(CHOOSE(MATCH($X21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21">
        <v>0</v>
      </c>
      <c r="AH21" t="str" cm="1">
        <f t="array" ref="AH21">IFERROR(INDEX(CHOOSE(MATCH($X21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21" t="str" cm="1">
        <f t="array" ref="AI21">IFERROR(INDEX(CHOOSE(MATCH($X21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21" t="str" cm="1">
        <f t="array" ref="AJ21">IFERROR(INDEX(CHOOSE(MATCH($X21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21" t="str" cm="1">
        <f t="array" ref="AK21">IFERROR(INDEX(CHOOSE(MATCH($X21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21" t="str" cm="1">
        <f t="array" ref="AL21">IFERROR(INDEX(CHOOSE(MATCH($X21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21" t="str" cm="1">
        <f t="array" ref="AM21">IFERROR(INDEX(CHOOSE(MATCH($X21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21" t="str" cm="1">
        <f t="array" ref="AN21">IFERROR(INDEX(CHOOSE(MATCH($X21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21" t="str" cm="1">
        <f t="array" ref="AO21">IFERROR(INDEX(CHOOSE(MATCH($X21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21" t="str" cm="1">
        <f t="array" ref="AP21">IFERROR(INDEX(CHOOSE(MATCH($X21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21" t="str" cm="1">
        <f t="array" ref="AQ21">IFERROR(INDEX(CHOOSE(MATCH($X21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21" t="str" cm="1">
        <f t="array" ref="AR21">IFERROR(INDEX(CHOOSE(MATCH($X21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21" t="str" cm="1">
        <f t="array" ref="AS21">IFERROR(INDEX(CHOOSE(MATCH($X21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21" t="str" cm="1">
        <f t="array" ref="AT21">IFERROR(INDEX(CHOOSE(MATCH($X21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21" t="str" cm="1">
        <f t="array" ref="AU21">IFERROR(INDEX(CHOOSE(MATCH($X21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21" t="str" cm="1">
        <f t="array" ref="AV21">IFERROR(INDEX(CHOOSE(MATCH($X21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21" t="str" cm="1">
        <f t="array" ref="AW21">IFERROR(INDEX(CHOOSE(MATCH($X21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21" t="str" cm="1">
        <f t="array" ref="AX21">IFERROR(INDEX(CHOOSE(MATCH($X21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21" t="str" cm="1">
        <f t="array" ref="AY21">IFERROR(INDEX(CHOOSE(MATCH($X21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21" t="str" cm="1">
        <f t="array" ref="AZ21">IFERROR(INDEX(CHOOSE(MATCH($X21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21" t="str" cm="1">
        <f t="array" ref="BA21">IFERROR(INDEX(CHOOSE(MATCH($X21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21" t="str" cm="1">
        <f t="array" ref="BB21">IFERROR(INDEX(CHOOSE(MATCH($X21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21" t="str" cm="1">
        <f t="array" ref="BC21">IFERROR(INDEX(CHOOSE(MATCH($X21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21" t="str" cm="1">
        <f t="array" ref="BD21">IFERROR(INDEX(CHOOSE(MATCH($X21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21" t="str" cm="1">
        <f t="array" ref="BE21">IFERROR(INDEX(CHOOSE(MATCH($X21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21" t="str" cm="1">
        <f t="array" ref="BF21">IFERROR(INDEX(CHOOSE(MATCH($X21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21" t="str" cm="1">
        <f t="array" ref="BG21">IFERROR(INDEX(CHOOSE(MATCH($X21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21" s="4">
        <f>AVERAGE(Table2[[#This Row],[11-Mar]:[Column33]])</f>
        <v>0</v>
      </c>
      <c r="BJ21">
        <f>COUNT(Table2[[#This Row],[11-Mar]:[Column33]])</f>
        <v>1</v>
      </c>
    </row>
    <row r="22" spans="1:62" x14ac:dyDescent="0.45">
      <c r="A22" s="34">
        <v>46113</v>
      </c>
      <c r="B22" t="s">
        <v>54</v>
      </c>
      <c r="C22">
        <v>1</v>
      </c>
      <c r="E22" t="s">
        <v>56</v>
      </c>
      <c r="F22">
        <v>5</v>
      </c>
      <c r="G22" s="37">
        <v>1</v>
      </c>
      <c r="H22" t="s">
        <v>37</v>
      </c>
      <c r="I22">
        <v>-2</v>
      </c>
      <c r="T22">
        <f t="shared" si="0"/>
        <v>4</v>
      </c>
      <c r="V22" s="37">
        <v>1</v>
      </c>
      <c r="X22" t="s">
        <v>75</v>
      </c>
      <c r="Z22" s="6"/>
      <c r="AA22" s="10" t="e">
        <f>AVERAGE(Table2[[#This Row],[11-Mar]:[Column33]])</f>
        <v>#DIV/0!</v>
      </c>
      <c r="AC22" t="str" cm="1">
        <f t="array" ref="AC22">IFERROR(INDEX(CHOOSE(MATCH($X22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22" t="str" cm="1">
        <f t="array" ref="AD22">IFERROR(INDEX(CHOOSE(MATCH($X22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22" t="str" cm="1">
        <f t="array" ref="AE22">IFERROR(INDEX(CHOOSE(MATCH($X22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22" t="str" cm="1">
        <f t="array" ref="AF22">IFERROR(INDEX(CHOOSE(MATCH($X22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22" t="str" cm="1">
        <f t="array" ref="AG22">IFERROR(INDEX(CHOOSE(MATCH($X22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22" t="str" cm="1">
        <f t="array" ref="AH22">IFERROR(INDEX(CHOOSE(MATCH($X22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22" t="str" cm="1">
        <f t="array" ref="AI22">IFERROR(INDEX(CHOOSE(MATCH($X22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22" t="str" cm="1">
        <f t="array" ref="AJ22">IFERROR(INDEX(CHOOSE(MATCH($X22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22" t="str" cm="1">
        <f t="array" ref="AK22">IFERROR(INDEX(CHOOSE(MATCH($X22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22" t="str" cm="1">
        <f t="array" ref="AL22">IFERROR(INDEX(CHOOSE(MATCH($X22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22" t="str" cm="1">
        <f t="array" ref="AM22">IFERROR(INDEX(CHOOSE(MATCH($X22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22" t="str" cm="1">
        <f t="array" ref="AN22">IFERROR(INDEX(CHOOSE(MATCH($X22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22" t="str" cm="1">
        <f t="array" ref="AO22">IFERROR(INDEX(CHOOSE(MATCH($X22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22" t="str" cm="1">
        <f t="array" ref="AP22">IFERROR(INDEX(CHOOSE(MATCH($X22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22" t="str" cm="1">
        <f t="array" ref="AQ22">IFERROR(INDEX(CHOOSE(MATCH($X22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22" t="str" cm="1">
        <f t="array" ref="AR22">IFERROR(INDEX(CHOOSE(MATCH($X22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22" t="str" cm="1">
        <f t="array" ref="AS22">IFERROR(INDEX(CHOOSE(MATCH($X22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22" t="str" cm="1">
        <f t="array" ref="AT22">IFERROR(INDEX(CHOOSE(MATCH($X22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22" t="str" cm="1">
        <f t="array" ref="AU22">IFERROR(INDEX(CHOOSE(MATCH($X22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22" t="str" cm="1">
        <f t="array" ref="AV22">IFERROR(INDEX(CHOOSE(MATCH($X22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22" t="str" cm="1">
        <f t="array" ref="AW22">IFERROR(INDEX(CHOOSE(MATCH($X22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22" t="str" cm="1">
        <f t="array" ref="AX22">IFERROR(INDEX(CHOOSE(MATCH($X22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22" t="str" cm="1">
        <f t="array" ref="AY22">IFERROR(INDEX(CHOOSE(MATCH($X22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22" t="str" cm="1">
        <f t="array" ref="AZ22">IFERROR(INDEX(CHOOSE(MATCH($X22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22" t="str" cm="1">
        <f t="array" ref="BA22">IFERROR(INDEX(CHOOSE(MATCH($X22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22" t="str" cm="1">
        <f t="array" ref="BB22">IFERROR(INDEX(CHOOSE(MATCH($X22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22" t="str" cm="1">
        <f t="array" ref="BC22">IFERROR(INDEX(CHOOSE(MATCH($X22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22" t="str" cm="1">
        <f t="array" ref="BD22">IFERROR(INDEX(CHOOSE(MATCH($X22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22" t="str" cm="1">
        <f t="array" ref="BE22">IFERROR(INDEX(CHOOSE(MATCH($X22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22" t="str" cm="1">
        <f t="array" ref="BF22">IFERROR(INDEX(CHOOSE(MATCH($X22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22" t="str" cm="1">
        <f t="array" ref="BG22">IFERROR(INDEX(CHOOSE(MATCH($X22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22" s="4" t="e">
        <f>AVERAGE(Table2[[#This Row],[11-Mar]:[Column33]])</f>
        <v>#DIV/0!</v>
      </c>
      <c r="BJ22">
        <f>COUNT(Table2[[#This Row],[11-Mar]:[Column33]])</f>
        <v>0</v>
      </c>
    </row>
    <row r="23" spans="1:62" x14ac:dyDescent="0.45">
      <c r="A23" s="34">
        <v>46113</v>
      </c>
      <c r="B23" t="s">
        <v>69</v>
      </c>
      <c r="C23">
        <v>-1</v>
      </c>
      <c r="E23" t="s">
        <v>153</v>
      </c>
      <c r="F23">
        <v>0</v>
      </c>
      <c r="H23" t="s">
        <v>39</v>
      </c>
      <c r="I23">
        <v>0</v>
      </c>
      <c r="T23">
        <f t="shared" si="0"/>
        <v>-1</v>
      </c>
      <c r="X23" t="s">
        <v>43</v>
      </c>
      <c r="Z23" s="6"/>
      <c r="AA23" s="10">
        <f>AVERAGE(Table2[[#This Row],[11-Mar]:[Column33]])</f>
        <v>3.3333333333333335</v>
      </c>
      <c r="AC23" t="str" cm="1">
        <f t="array" ref="AC23">IFERROR(INDEX(CHOOSE(MATCH($X23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23" t="str" cm="1">
        <f t="array" ref="AD23">IFERROR(INDEX(CHOOSE(MATCH($X23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23">
        <v>6</v>
      </c>
      <c r="AF23">
        <v>2</v>
      </c>
      <c r="AG23" t="str" cm="1">
        <f t="array" ref="AG23">IFERROR(INDEX(CHOOSE(MATCH($X23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23" t="str" cm="1">
        <f t="array" ref="AH23">IFERROR(INDEX(CHOOSE(MATCH($X23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23" t="str" cm="1">
        <f t="array" ref="AI23">IFERROR(INDEX(CHOOSE(MATCH($X23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23">
        <v>2</v>
      </c>
      <c r="AK23" t="str" cm="1">
        <f t="array" ref="AK23">IFERROR(INDEX(CHOOSE(MATCH($X23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23" t="str" cm="1">
        <f t="array" ref="AL23">IFERROR(INDEX(CHOOSE(MATCH($X23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23" t="str" cm="1">
        <f t="array" ref="AM23">IFERROR(INDEX(CHOOSE(MATCH($X23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23" t="str" cm="1">
        <f t="array" ref="AN23">IFERROR(INDEX(CHOOSE(MATCH($X23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23" t="str" cm="1">
        <f t="array" ref="AO23">IFERROR(INDEX(CHOOSE(MATCH($X23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23" t="str" cm="1">
        <f t="array" ref="AP23">IFERROR(INDEX(CHOOSE(MATCH($X23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23" t="str" cm="1">
        <f t="array" ref="AQ23">IFERROR(INDEX(CHOOSE(MATCH($X23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23" t="str" cm="1">
        <f t="array" ref="AR23">IFERROR(INDEX(CHOOSE(MATCH($X23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23" t="str" cm="1">
        <f t="array" ref="AS23">IFERROR(INDEX(CHOOSE(MATCH($X23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23" t="str" cm="1">
        <f t="array" ref="AT23">IFERROR(INDEX(CHOOSE(MATCH($X23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23" t="str" cm="1">
        <f t="array" ref="AU23">IFERROR(INDEX(CHOOSE(MATCH($X23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23" t="str" cm="1">
        <f t="array" ref="AV23">IFERROR(INDEX(CHOOSE(MATCH($X23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23" t="str" cm="1">
        <f t="array" ref="AW23">IFERROR(INDEX(CHOOSE(MATCH($X23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23" t="str" cm="1">
        <f t="array" ref="AX23">IFERROR(INDEX(CHOOSE(MATCH($X23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23" t="str" cm="1">
        <f t="array" ref="AY23">IFERROR(INDEX(CHOOSE(MATCH($X23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23" t="str" cm="1">
        <f t="array" ref="AZ23">IFERROR(INDEX(CHOOSE(MATCH($X23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23" t="str" cm="1">
        <f t="array" ref="BA23">IFERROR(INDEX(CHOOSE(MATCH($X23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23" t="str" cm="1">
        <f t="array" ref="BB23">IFERROR(INDEX(CHOOSE(MATCH($X23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23" t="str" cm="1">
        <f t="array" ref="BC23">IFERROR(INDEX(CHOOSE(MATCH($X23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23" t="str" cm="1">
        <f t="array" ref="BD23">IFERROR(INDEX(CHOOSE(MATCH($X23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23" t="str" cm="1">
        <f t="array" ref="BE23">IFERROR(INDEX(CHOOSE(MATCH($X23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23" t="str" cm="1">
        <f t="array" ref="BF23">IFERROR(INDEX(CHOOSE(MATCH($X23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23" t="str" cm="1">
        <f t="array" ref="BG23">IFERROR(INDEX(CHOOSE(MATCH($X23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23" s="4">
        <f>AVERAGE(Table2[[#This Row],[11-Mar]:[Column33]])</f>
        <v>3.3333333333333335</v>
      </c>
      <c r="BJ23">
        <f>COUNT(Table2[[#This Row],[11-Mar]:[Column33]])</f>
        <v>3</v>
      </c>
    </row>
    <row r="24" spans="1:62" x14ac:dyDescent="0.45">
      <c r="A24" s="34">
        <v>46113</v>
      </c>
      <c r="B24" t="s">
        <v>42</v>
      </c>
      <c r="C24">
        <v>6</v>
      </c>
      <c r="E24" t="s">
        <v>28</v>
      </c>
      <c r="F24">
        <v>3</v>
      </c>
      <c r="H24" t="s">
        <v>43</v>
      </c>
      <c r="I24">
        <v>6</v>
      </c>
      <c r="T24">
        <f t="shared" si="0"/>
        <v>15</v>
      </c>
      <c r="X24" t="s">
        <v>30</v>
      </c>
      <c r="Y24">
        <v>1</v>
      </c>
      <c r="Z24" s="6">
        <v>2</v>
      </c>
      <c r="AA24" s="10">
        <f>AVERAGE(Table2[[#This Row],[11-Mar]:[Column33]])</f>
        <v>0.8</v>
      </c>
      <c r="AB24">
        <v>0</v>
      </c>
      <c r="AC24" t="str" cm="1">
        <f t="array" ref="AC24">IFERROR(INDEX(CHOOSE(MATCH($X24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24">
        <v>-1</v>
      </c>
      <c r="AE24">
        <v>3</v>
      </c>
      <c r="AF24" t="str" cm="1">
        <f t="array" ref="AF24">IFERROR(INDEX(CHOOSE(MATCH($X24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24">
        <v>-3</v>
      </c>
      <c r="AH24" t="str" cm="1">
        <f t="array" ref="AH24">IFERROR(INDEX(CHOOSE(MATCH($X24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24" t="str" cm="1">
        <f t="array" ref="AI24">IFERROR(INDEX(CHOOSE(MATCH($X24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24">
        <v>5</v>
      </c>
      <c r="AK24" t="str" cm="1">
        <f t="array" ref="AK24">IFERROR(INDEX(CHOOSE(MATCH($X24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24" t="str" cm="1">
        <f t="array" ref="AL24">IFERROR(INDEX(CHOOSE(MATCH($X24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24" t="str" cm="1">
        <f t="array" ref="AM24">IFERROR(INDEX(CHOOSE(MATCH($X24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24" t="str" cm="1">
        <f t="array" ref="AN24">IFERROR(INDEX(CHOOSE(MATCH($X24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24" t="str" cm="1">
        <f t="array" ref="AO24">IFERROR(INDEX(CHOOSE(MATCH($X24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24" t="str" cm="1">
        <f t="array" ref="AP24">IFERROR(INDEX(CHOOSE(MATCH($X24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24" t="str" cm="1">
        <f t="array" ref="AQ24">IFERROR(INDEX(CHOOSE(MATCH($X24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24" t="str" cm="1">
        <f t="array" ref="AR24">IFERROR(INDEX(CHOOSE(MATCH($X24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24" t="str" cm="1">
        <f t="array" ref="AS24">IFERROR(INDEX(CHOOSE(MATCH($X24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24" t="str" cm="1">
        <f t="array" ref="AT24">IFERROR(INDEX(CHOOSE(MATCH($X24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24" t="str" cm="1">
        <f t="array" ref="AU24">IFERROR(INDEX(CHOOSE(MATCH($X24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24" t="str" cm="1">
        <f t="array" ref="AV24">IFERROR(INDEX(CHOOSE(MATCH($X24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24" t="str" cm="1">
        <f t="array" ref="AW24">IFERROR(INDEX(CHOOSE(MATCH($X24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24" t="str" cm="1">
        <f t="array" ref="AX24">IFERROR(INDEX(CHOOSE(MATCH($X24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24" t="str" cm="1">
        <f t="array" ref="AY24">IFERROR(INDEX(CHOOSE(MATCH($X24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24" t="str" cm="1">
        <f t="array" ref="AZ24">IFERROR(INDEX(CHOOSE(MATCH($X24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24" t="str" cm="1">
        <f t="array" ref="BA24">IFERROR(INDEX(CHOOSE(MATCH($X24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24" t="str" cm="1">
        <f t="array" ref="BB24">IFERROR(INDEX(CHOOSE(MATCH($X24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24" t="str" cm="1">
        <f t="array" ref="BC24">IFERROR(INDEX(CHOOSE(MATCH($X24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24" t="str" cm="1">
        <f t="array" ref="BD24">IFERROR(INDEX(CHOOSE(MATCH($X24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24" t="str" cm="1">
        <f t="array" ref="BE24">IFERROR(INDEX(CHOOSE(MATCH($X24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24" t="str" cm="1">
        <f t="array" ref="BF24">IFERROR(INDEX(CHOOSE(MATCH($X24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24" t="str" cm="1">
        <f t="array" ref="BG24">IFERROR(INDEX(CHOOSE(MATCH($X24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24" s="4">
        <f>AVERAGE(Table2[[#This Row],[11-Mar]:[Column33]])</f>
        <v>0.8</v>
      </c>
      <c r="BJ24">
        <f>COUNT(Table2[[#This Row],[11-Mar]:[Column33]])</f>
        <v>5</v>
      </c>
    </row>
    <row r="25" spans="1:62" x14ac:dyDescent="0.45">
      <c r="A25" s="34">
        <v>46113</v>
      </c>
      <c r="B25" t="s">
        <v>98</v>
      </c>
      <c r="C25">
        <v>-1</v>
      </c>
      <c r="E25" t="s">
        <v>50</v>
      </c>
      <c r="F25">
        <v>1</v>
      </c>
      <c r="H25" t="s">
        <v>105</v>
      </c>
      <c r="I25">
        <v>2</v>
      </c>
      <c r="T25">
        <f t="shared" si="0"/>
        <v>2</v>
      </c>
      <c r="X25" t="s">
        <v>31</v>
      </c>
      <c r="Y25">
        <v>1</v>
      </c>
      <c r="Z25" s="6">
        <v>5</v>
      </c>
      <c r="AA25" s="10">
        <f>AVERAGE(Table2[[#This Row],[11-Mar]:[Column33]])</f>
        <v>-0.5</v>
      </c>
      <c r="AB25">
        <v>3</v>
      </c>
      <c r="AC25" t="str" cm="1">
        <f t="array" ref="AC25">IFERROR(INDEX(CHOOSE(MATCH($X25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25">
        <v>0</v>
      </c>
      <c r="AE25">
        <v>3</v>
      </c>
      <c r="AF25">
        <v>0</v>
      </c>
      <c r="AG25">
        <v>-2</v>
      </c>
      <c r="AH25">
        <v>-1</v>
      </c>
      <c r="AI25">
        <v>-5</v>
      </c>
      <c r="AJ25">
        <v>-2</v>
      </c>
      <c r="AK25" t="str" cm="1">
        <f t="array" ref="AK25">IFERROR(INDEX(CHOOSE(MATCH($X25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25" t="str" cm="1">
        <f t="array" ref="AL25">IFERROR(INDEX(CHOOSE(MATCH($X25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25" t="str" cm="1">
        <f t="array" ref="AM25">IFERROR(INDEX(CHOOSE(MATCH($X25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25" t="str" cm="1">
        <f t="array" ref="AN25">IFERROR(INDEX(CHOOSE(MATCH($X25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25" t="str" cm="1">
        <f t="array" ref="AO25">IFERROR(INDEX(CHOOSE(MATCH($X25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25" t="str" cm="1">
        <f t="array" ref="AP25">IFERROR(INDEX(CHOOSE(MATCH($X25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25" t="str" cm="1">
        <f t="array" ref="AQ25">IFERROR(INDEX(CHOOSE(MATCH($X25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25" t="str" cm="1">
        <f t="array" ref="AR25">IFERROR(INDEX(CHOOSE(MATCH($X25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25" t="str" cm="1">
        <f t="array" ref="AS25">IFERROR(INDEX(CHOOSE(MATCH($X25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25" t="str" cm="1">
        <f t="array" ref="AT25">IFERROR(INDEX(CHOOSE(MATCH($X25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25" t="str" cm="1">
        <f t="array" ref="AU25">IFERROR(INDEX(CHOOSE(MATCH($X25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25" t="str" cm="1">
        <f t="array" ref="AV25">IFERROR(INDEX(CHOOSE(MATCH($X25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25" t="str" cm="1">
        <f t="array" ref="AW25">IFERROR(INDEX(CHOOSE(MATCH($X25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25" t="str" cm="1">
        <f t="array" ref="AX25">IFERROR(INDEX(CHOOSE(MATCH($X25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25" t="str" cm="1">
        <f t="array" ref="AY25">IFERROR(INDEX(CHOOSE(MATCH($X25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25" t="str" cm="1">
        <f t="array" ref="AZ25">IFERROR(INDEX(CHOOSE(MATCH($X25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25" t="str" cm="1">
        <f t="array" ref="BA25">IFERROR(INDEX(CHOOSE(MATCH($X25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25" t="str" cm="1">
        <f t="array" ref="BB25">IFERROR(INDEX(CHOOSE(MATCH($X25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25" t="str" cm="1">
        <f t="array" ref="BC25">IFERROR(INDEX(CHOOSE(MATCH($X25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25" t="str" cm="1">
        <f t="array" ref="BD25">IFERROR(INDEX(CHOOSE(MATCH($X25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25" t="str" cm="1">
        <f t="array" ref="BE25">IFERROR(INDEX(CHOOSE(MATCH($X25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25" t="str" cm="1">
        <f t="array" ref="BF25">IFERROR(INDEX(CHOOSE(MATCH($X25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25" t="str" cm="1">
        <f t="array" ref="BG25">IFERROR(INDEX(CHOOSE(MATCH($X25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25" s="4">
        <f>AVERAGE(Table2[[#This Row],[11-Mar]:[Column33]])</f>
        <v>-0.5</v>
      </c>
      <c r="BJ25">
        <f>COUNT(Table2[[#This Row],[11-Mar]:[Column33]])</f>
        <v>8</v>
      </c>
    </row>
    <row r="26" spans="1:62" x14ac:dyDescent="0.45">
      <c r="A26" s="34">
        <v>46113</v>
      </c>
      <c r="B26" t="s">
        <v>40</v>
      </c>
      <c r="C26">
        <v>0</v>
      </c>
      <c r="E26" t="s">
        <v>144</v>
      </c>
      <c r="F26">
        <v>0</v>
      </c>
      <c r="H26" t="s">
        <v>45</v>
      </c>
      <c r="I26">
        <v>-1</v>
      </c>
      <c r="T26">
        <f t="shared" si="0"/>
        <v>-1</v>
      </c>
      <c r="X26" t="s">
        <v>34</v>
      </c>
      <c r="Z26" s="6"/>
      <c r="AA26" s="10">
        <f>AVERAGE(Table2[[#This Row],[11-Mar]:[Column33]])</f>
        <v>1</v>
      </c>
      <c r="AB26">
        <v>0</v>
      </c>
      <c r="AC26" t="str" cm="1">
        <f t="array" ref="AC26">IFERROR(INDEX(CHOOSE(MATCH($X26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26" t="str" cm="1">
        <f t="array" ref="AD26">IFERROR(INDEX(CHOOSE(MATCH($X26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26" t="str" cm="1">
        <f t="array" ref="AE26">IFERROR(INDEX(CHOOSE(MATCH($X26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26" t="str" cm="1">
        <f t="array" ref="AF26">IFERROR(INDEX(CHOOSE(MATCH($X26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26">
        <v>0</v>
      </c>
      <c r="AH26">
        <v>4</v>
      </c>
      <c r="AI26">
        <v>0</v>
      </c>
      <c r="AJ26">
        <v>1</v>
      </c>
      <c r="AK26" t="str" cm="1">
        <f t="array" ref="AK26">IFERROR(INDEX(CHOOSE(MATCH($X26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26" t="str" cm="1">
        <f t="array" ref="AL26">IFERROR(INDEX(CHOOSE(MATCH($X26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26" t="str" cm="1">
        <f t="array" ref="AM26">IFERROR(INDEX(CHOOSE(MATCH($X26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26" t="str" cm="1">
        <f t="array" ref="AN26">IFERROR(INDEX(CHOOSE(MATCH($X26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26" t="str" cm="1">
        <f t="array" ref="AO26">IFERROR(INDEX(CHOOSE(MATCH($X26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26" t="str" cm="1">
        <f t="array" ref="AP26">IFERROR(INDEX(CHOOSE(MATCH($X26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26" t="str" cm="1">
        <f t="array" ref="AQ26">IFERROR(INDEX(CHOOSE(MATCH($X26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26" t="str" cm="1">
        <f t="array" ref="AR26">IFERROR(INDEX(CHOOSE(MATCH($X26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26" t="str" cm="1">
        <f t="array" ref="AS26">IFERROR(INDEX(CHOOSE(MATCH($X26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26" t="str" cm="1">
        <f t="array" ref="AT26">IFERROR(INDEX(CHOOSE(MATCH($X26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26" t="str" cm="1">
        <f t="array" ref="AU26">IFERROR(INDEX(CHOOSE(MATCH($X26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26" t="str" cm="1">
        <f t="array" ref="AV26">IFERROR(INDEX(CHOOSE(MATCH($X26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26" t="str" cm="1">
        <f t="array" ref="AW26">IFERROR(INDEX(CHOOSE(MATCH($X26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26" t="str" cm="1">
        <f t="array" ref="AX26">IFERROR(INDEX(CHOOSE(MATCH($X26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26" t="str" cm="1">
        <f t="array" ref="AY26">IFERROR(INDEX(CHOOSE(MATCH($X26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26" t="str" cm="1">
        <f t="array" ref="AZ26">IFERROR(INDEX(CHOOSE(MATCH($X26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26" t="str" cm="1">
        <f t="array" ref="BA26">IFERROR(INDEX(CHOOSE(MATCH($X26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26" t="str" cm="1">
        <f t="array" ref="BB26">IFERROR(INDEX(CHOOSE(MATCH($X26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26" t="str" cm="1">
        <f t="array" ref="BC26">IFERROR(INDEX(CHOOSE(MATCH($X26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26" t="str" cm="1">
        <f t="array" ref="BD26">IFERROR(INDEX(CHOOSE(MATCH($X26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26" t="str" cm="1">
        <f t="array" ref="BE26">IFERROR(INDEX(CHOOSE(MATCH($X26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26" t="str" cm="1">
        <f t="array" ref="BF26">IFERROR(INDEX(CHOOSE(MATCH($X26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26" t="str" cm="1">
        <f t="array" ref="BG26">IFERROR(INDEX(CHOOSE(MATCH($X26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26" s="4">
        <f>AVERAGE(Table2[[#This Row],[11-Mar]:[Column33]])</f>
        <v>1</v>
      </c>
      <c r="BJ26">
        <f>COUNT(Table2[[#This Row],[11-Mar]:[Column33]])</f>
        <v>5</v>
      </c>
    </row>
    <row r="27" spans="1:62" x14ac:dyDescent="0.45">
      <c r="A27" s="34">
        <v>46113</v>
      </c>
      <c r="B27" t="s">
        <v>30</v>
      </c>
      <c r="C27">
        <v>3</v>
      </c>
      <c r="E27" t="s">
        <v>31</v>
      </c>
      <c r="F27">
        <v>3</v>
      </c>
      <c r="H27" t="s">
        <v>151</v>
      </c>
      <c r="I27">
        <v>2</v>
      </c>
      <c r="J27" s="37">
        <v>1</v>
      </c>
      <c r="T27">
        <f t="shared" si="0"/>
        <v>8</v>
      </c>
      <c r="V27" s="37">
        <v>1</v>
      </c>
      <c r="X27" t="s">
        <v>152</v>
      </c>
      <c r="Z27" s="6"/>
      <c r="AA27" s="10">
        <f>AVERAGE(Table2[[#This Row],[11-Mar]:[Column33]])</f>
        <v>5</v>
      </c>
      <c r="AC27" t="str" cm="1">
        <f t="array" ref="AC27">IFERROR(INDEX(CHOOSE(MATCH($X27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27" t="str" cm="1">
        <f t="array" ref="AD27">IFERROR(INDEX(CHOOSE(MATCH($X27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27">
        <v>5</v>
      </c>
      <c r="AF27" t="str" cm="1">
        <f t="array" ref="AF27">IFERROR(INDEX(CHOOSE(MATCH($X27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27" t="str" cm="1">
        <f t="array" ref="AG27">IFERROR(INDEX(CHOOSE(MATCH($X27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27" t="str" cm="1">
        <f t="array" ref="AH27">IFERROR(INDEX(CHOOSE(MATCH($X27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27" t="str" cm="1">
        <f t="array" ref="AI27">IFERROR(INDEX(CHOOSE(MATCH($X27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27" t="str" cm="1">
        <f t="array" ref="AJ27">IFERROR(INDEX(CHOOSE(MATCH($X27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27" t="str" cm="1">
        <f t="array" ref="AK27">IFERROR(INDEX(CHOOSE(MATCH($X27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27" t="str" cm="1">
        <f t="array" ref="AL27">IFERROR(INDEX(CHOOSE(MATCH($X27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27" t="str" cm="1">
        <f t="array" ref="AM27">IFERROR(INDEX(CHOOSE(MATCH($X27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27" t="str" cm="1">
        <f t="array" ref="AN27">IFERROR(INDEX(CHOOSE(MATCH($X27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27" t="str" cm="1">
        <f t="array" ref="AO27">IFERROR(INDEX(CHOOSE(MATCH($X27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27" t="str" cm="1">
        <f t="array" ref="AP27">IFERROR(INDEX(CHOOSE(MATCH($X27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27" t="str" cm="1">
        <f t="array" ref="AQ27">IFERROR(INDEX(CHOOSE(MATCH($X27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27" t="str" cm="1">
        <f t="array" ref="AR27">IFERROR(INDEX(CHOOSE(MATCH($X27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27" t="str" cm="1">
        <f t="array" ref="AS27">IFERROR(INDEX(CHOOSE(MATCH($X27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27" t="str" cm="1">
        <f t="array" ref="AT27">IFERROR(INDEX(CHOOSE(MATCH($X27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27" t="str" cm="1">
        <f t="array" ref="AU27">IFERROR(INDEX(CHOOSE(MATCH($X27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27" t="str" cm="1">
        <f t="array" ref="AV27">IFERROR(INDEX(CHOOSE(MATCH($X27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27" t="str" cm="1">
        <f t="array" ref="AW27">IFERROR(INDEX(CHOOSE(MATCH($X27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27" t="str" cm="1">
        <f t="array" ref="AX27">IFERROR(INDEX(CHOOSE(MATCH($X27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27" t="str" cm="1">
        <f t="array" ref="AY27">IFERROR(INDEX(CHOOSE(MATCH($X27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27" t="str" cm="1">
        <f t="array" ref="AZ27">IFERROR(INDEX(CHOOSE(MATCH($X27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27" t="str" cm="1">
        <f t="array" ref="BA27">IFERROR(INDEX(CHOOSE(MATCH($X27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27" t="str" cm="1">
        <f t="array" ref="BB27">IFERROR(INDEX(CHOOSE(MATCH($X27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27" t="str" cm="1">
        <f t="array" ref="BC27">IFERROR(INDEX(CHOOSE(MATCH($X27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27" t="str" cm="1">
        <f t="array" ref="BD27">IFERROR(INDEX(CHOOSE(MATCH($X27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27" t="str" cm="1">
        <f t="array" ref="BE27">IFERROR(INDEX(CHOOSE(MATCH($X27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27" t="str" cm="1">
        <f t="array" ref="BF27">IFERROR(INDEX(CHOOSE(MATCH($X27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27" t="str" cm="1">
        <f t="array" ref="BG27">IFERROR(INDEX(CHOOSE(MATCH($X27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27" s="4">
        <f>AVERAGE(Table2[[#This Row],[11-Mar]:[Column33]])</f>
        <v>5</v>
      </c>
      <c r="BJ27">
        <f>COUNT(Table2[[#This Row],[11-Mar]:[Column33]])</f>
        <v>1</v>
      </c>
    </row>
    <row r="28" spans="1:62" x14ac:dyDescent="0.45">
      <c r="A28" s="34">
        <v>46113</v>
      </c>
      <c r="B28" t="s">
        <v>73</v>
      </c>
      <c r="C28">
        <v>6</v>
      </c>
      <c r="E28" t="s">
        <v>89</v>
      </c>
      <c r="F28">
        <v>1</v>
      </c>
      <c r="H28" t="s">
        <v>152</v>
      </c>
      <c r="I28">
        <v>5</v>
      </c>
      <c r="T28">
        <f t="shared" si="0"/>
        <v>12</v>
      </c>
      <c r="X28" t="s">
        <v>60</v>
      </c>
      <c r="Z28" s="6"/>
      <c r="AA28" s="10">
        <f>AVERAGE(Table2[[#This Row],[11-Mar]:[Column33]])</f>
        <v>3</v>
      </c>
      <c r="AC28" t="str" cm="1">
        <f t="array" ref="AC28">IFERROR(INDEX(CHOOSE(MATCH($X28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28" t="str" cm="1">
        <f t="array" ref="AD28">IFERROR(INDEX(CHOOSE(MATCH($X28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28">
        <v>3</v>
      </c>
      <c r="AF28">
        <v>7</v>
      </c>
      <c r="AG28" t="str" cm="1">
        <f t="array" ref="AG28">IFERROR(INDEX(CHOOSE(MATCH($X28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28" t="str" cm="1">
        <f t="array" ref="AH28">IFERROR(INDEX(CHOOSE(MATCH($X28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28">
        <v>0</v>
      </c>
      <c r="AJ28">
        <v>2</v>
      </c>
      <c r="AK28" t="str" cm="1">
        <f t="array" ref="AK28">IFERROR(INDEX(CHOOSE(MATCH($X28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28" t="str" cm="1">
        <f t="array" ref="AL28">IFERROR(INDEX(CHOOSE(MATCH($X28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28" t="str" cm="1">
        <f t="array" ref="AM28">IFERROR(INDEX(CHOOSE(MATCH($X28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28" t="str" cm="1">
        <f t="array" ref="AN28">IFERROR(INDEX(CHOOSE(MATCH($X28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28" t="str" cm="1">
        <f t="array" ref="AO28">IFERROR(INDEX(CHOOSE(MATCH($X28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28" t="str" cm="1">
        <f t="array" ref="AP28">IFERROR(INDEX(CHOOSE(MATCH($X28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28" t="str" cm="1">
        <f t="array" ref="AQ28">IFERROR(INDEX(CHOOSE(MATCH($X28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28" t="str" cm="1">
        <f t="array" ref="AR28">IFERROR(INDEX(CHOOSE(MATCH($X28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28" t="str" cm="1">
        <f t="array" ref="AS28">IFERROR(INDEX(CHOOSE(MATCH($X28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28" t="str" cm="1">
        <f t="array" ref="AT28">IFERROR(INDEX(CHOOSE(MATCH($X28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28" t="str" cm="1">
        <f t="array" ref="AU28">IFERROR(INDEX(CHOOSE(MATCH($X28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28" t="str" cm="1">
        <f t="array" ref="AV28">IFERROR(INDEX(CHOOSE(MATCH($X28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28" t="str" cm="1">
        <f t="array" ref="AW28">IFERROR(INDEX(CHOOSE(MATCH($X28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28" t="str" cm="1">
        <f t="array" ref="AX28">IFERROR(INDEX(CHOOSE(MATCH($X28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28" t="str" cm="1">
        <f t="array" ref="AY28">IFERROR(INDEX(CHOOSE(MATCH($X28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28" t="str" cm="1">
        <f t="array" ref="AZ28">IFERROR(INDEX(CHOOSE(MATCH($X28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28" t="str" cm="1">
        <f t="array" ref="BA28">IFERROR(INDEX(CHOOSE(MATCH($X28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28" t="str" cm="1">
        <f t="array" ref="BB28">IFERROR(INDEX(CHOOSE(MATCH($X28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28" t="str" cm="1">
        <f t="array" ref="BC28">IFERROR(INDEX(CHOOSE(MATCH($X28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28" t="str" cm="1">
        <f t="array" ref="BD28">IFERROR(INDEX(CHOOSE(MATCH($X28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28" t="str" cm="1">
        <f t="array" ref="BE28">IFERROR(INDEX(CHOOSE(MATCH($X28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28" t="str" cm="1">
        <f t="array" ref="BF28">IFERROR(INDEX(CHOOSE(MATCH($X28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28" t="str" cm="1">
        <f t="array" ref="BG28">IFERROR(INDEX(CHOOSE(MATCH($X28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28" s="4">
        <f>AVERAGE(Table2[[#This Row],[11-Mar]:[Column33]])</f>
        <v>3</v>
      </c>
      <c r="BJ28">
        <f>COUNT(Table2[[#This Row],[11-Mar]:[Column33]])</f>
        <v>4</v>
      </c>
    </row>
    <row r="29" spans="1:62" x14ac:dyDescent="0.45">
      <c r="A29" s="38">
        <v>46113</v>
      </c>
      <c r="B29" s="39" t="s">
        <v>104</v>
      </c>
      <c r="C29" s="39">
        <v>1</v>
      </c>
      <c r="D29" s="39"/>
      <c r="E29" s="39" t="s">
        <v>33</v>
      </c>
      <c r="F29" s="39">
        <v>0</v>
      </c>
      <c r="G29" s="39"/>
      <c r="H29" s="39" t="s">
        <v>71</v>
      </c>
      <c r="I29" s="39">
        <v>-2</v>
      </c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 t="s">
        <v>154</v>
      </c>
      <c r="U29" s="39" t="s">
        <v>155</v>
      </c>
      <c r="X29" t="s">
        <v>77</v>
      </c>
      <c r="Z29" s="6"/>
      <c r="AA29" s="10" t="e">
        <f>AVERAGE(Table2[[#This Row],[11-Mar]:[Column33]])</f>
        <v>#DIV/0!</v>
      </c>
      <c r="AC29" t="str" cm="1">
        <f t="array" ref="AC29">IFERROR(INDEX(CHOOSE(MATCH($X29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29" t="str" cm="1">
        <f t="array" ref="AD29">IFERROR(INDEX(CHOOSE(MATCH($X29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29" t="str" cm="1">
        <f t="array" ref="AE29">IFERROR(INDEX(CHOOSE(MATCH($X29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29" t="str" cm="1">
        <f t="array" ref="AF29">IFERROR(INDEX(CHOOSE(MATCH($X29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29" t="str" cm="1">
        <f t="array" ref="AG29">IFERROR(INDEX(CHOOSE(MATCH($X29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29" t="str" cm="1">
        <f t="array" ref="AH29">IFERROR(INDEX(CHOOSE(MATCH($X29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29" t="str" cm="1">
        <f t="array" ref="AI29">IFERROR(INDEX(CHOOSE(MATCH($X29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29" t="str" cm="1">
        <f t="array" ref="AJ29">IFERROR(INDEX(CHOOSE(MATCH($X29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29" t="str" cm="1">
        <f t="array" ref="AK29">IFERROR(INDEX(CHOOSE(MATCH($X29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29" t="str" cm="1">
        <f t="array" ref="AL29">IFERROR(INDEX(CHOOSE(MATCH($X29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29" t="str" cm="1">
        <f t="array" ref="AM29">IFERROR(INDEX(CHOOSE(MATCH($X29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29" t="str" cm="1">
        <f t="array" ref="AN29">IFERROR(INDEX(CHOOSE(MATCH($X29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29" t="str" cm="1">
        <f t="array" ref="AO29">IFERROR(INDEX(CHOOSE(MATCH($X29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29" t="str" cm="1">
        <f t="array" ref="AP29">IFERROR(INDEX(CHOOSE(MATCH($X29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29" t="str" cm="1">
        <f t="array" ref="AQ29">IFERROR(INDEX(CHOOSE(MATCH($X29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29" t="str" cm="1">
        <f t="array" ref="AR29">IFERROR(INDEX(CHOOSE(MATCH($X29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29" t="str" cm="1">
        <f t="array" ref="AS29">IFERROR(INDEX(CHOOSE(MATCH($X29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29" t="str" cm="1">
        <f t="array" ref="AT29">IFERROR(INDEX(CHOOSE(MATCH($X29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29" t="str" cm="1">
        <f t="array" ref="AU29">IFERROR(INDEX(CHOOSE(MATCH($X29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29" t="str" cm="1">
        <f t="array" ref="AV29">IFERROR(INDEX(CHOOSE(MATCH($X29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29" t="str" cm="1">
        <f t="array" ref="AW29">IFERROR(INDEX(CHOOSE(MATCH($X29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29" t="str" cm="1">
        <f t="array" ref="AX29">IFERROR(INDEX(CHOOSE(MATCH($X29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29" t="str" cm="1">
        <f t="array" ref="AY29">IFERROR(INDEX(CHOOSE(MATCH($X29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29" t="str" cm="1">
        <f t="array" ref="AZ29">IFERROR(INDEX(CHOOSE(MATCH($X29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29" t="str" cm="1">
        <f t="array" ref="BA29">IFERROR(INDEX(CHOOSE(MATCH($X29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29" t="str" cm="1">
        <f t="array" ref="BB29">IFERROR(INDEX(CHOOSE(MATCH($X29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29" t="str" cm="1">
        <f t="array" ref="BC29">IFERROR(INDEX(CHOOSE(MATCH($X29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29" t="str" cm="1">
        <f t="array" ref="BD29">IFERROR(INDEX(CHOOSE(MATCH($X29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29" t="str" cm="1">
        <f t="array" ref="BE29">IFERROR(INDEX(CHOOSE(MATCH($X29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29" t="str" cm="1">
        <f t="array" ref="BF29">IFERROR(INDEX(CHOOSE(MATCH($X29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29" t="str" cm="1">
        <f t="array" ref="BG29">IFERROR(INDEX(CHOOSE(MATCH($X29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29" s="4" t="e">
        <f>AVERAGE(Table2[[#This Row],[11-Mar]:[Column33]])</f>
        <v>#DIV/0!</v>
      </c>
      <c r="BJ29">
        <f>COUNT(Table2[[#This Row],[11-Mar]:[Column33]])</f>
        <v>0</v>
      </c>
    </row>
    <row r="30" spans="1:62" x14ac:dyDescent="0.45">
      <c r="A30" s="34">
        <v>46113</v>
      </c>
      <c r="B30" t="s">
        <v>36</v>
      </c>
      <c r="C30">
        <v>2</v>
      </c>
      <c r="E30" t="s">
        <v>150</v>
      </c>
      <c r="F30">
        <v>0</v>
      </c>
      <c r="H30" t="s">
        <v>72</v>
      </c>
      <c r="I30">
        <v>2</v>
      </c>
      <c r="J30" s="37">
        <v>1</v>
      </c>
      <c r="T30">
        <f t="shared" si="0"/>
        <v>4</v>
      </c>
      <c r="V30" s="37">
        <v>1</v>
      </c>
      <c r="X30" t="s">
        <v>80</v>
      </c>
      <c r="Z30" s="6"/>
      <c r="AA30" s="10" t="e">
        <f>AVERAGE(Table2[[#This Row],[11-Mar]:[Column33]])</f>
        <v>#DIV/0!</v>
      </c>
      <c r="AC30" t="str" cm="1">
        <f t="array" ref="AC30">IFERROR(INDEX(CHOOSE(MATCH($X30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30" t="str" cm="1">
        <f t="array" ref="AD30">IFERROR(INDEX(CHOOSE(MATCH($X30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30" t="str" cm="1">
        <f t="array" ref="AE30">IFERROR(INDEX(CHOOSE(MATCH($X30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30" t="str" cm="1">
        <f t="array" ref="AF30">IFERROR(INDEX(CHOOSE(MATCH($X30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30" t="str" cm="1">
        <f t="array" ref="AG30">IFERROR(INDEX(CHOOSE(MATCH($X30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30" t="str" cm="1">
        <f t="array" ref="AH30">IFERROR(INDEX(CHOOSE(MATCH($X30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30" t="str" cm="1">
        <f t="array" ref="AI30">IFERROR(INDEX(CHOOSE(MATCH($X30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30" t="str" cm="1">
        <f t="array" ref="AJ30">IFERROR(INDEX(CHOOSE(MATCH($X30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30" t="str" cm="1">
        <f t="array" ref="AK30">IFERROR(INDEX(CHOOSE(MATCH($X30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30" t="str" cm="1">
        <f t="array" ref="AL30">IFERROR(INDEX(CHOOSE(MATCH($X30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30" t="str" cm="1">
        <f t="array" ref="AM30">IFERROR(INDEX(CHOOSE(MATCH($X30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30" t="str" cm="1">
        <f t="array" ref="AN30">IFERROR(INDEX(CHOOSE(MATCH($X30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30" t="str" cm="1">
        <f t="array" ref="AO30">IFERROR(INDEX(CHOOSE(MATCH($X30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30" t="str" cm="1">
        <f t="array" ref="AP30">IFERROR(INDEX(CHOOSE(MATCH($X30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30" t="str" cm="1">
        <f t="array" ref="AQ30">IFERROR(INDEX(CHOOSE(MATCH($X30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30" t="str" cm="1">
        <f t="array" ref="AR30">IFERROR(INDEX(CHOOSE(MATCH($X30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30" t="str" cm="1">
        <f t="array" ref="AS30">IFERROR(INDEX(CHOOSE(MATCH($X30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30" t="str" cm="1">
        <f t="array" ref="AT30">IFERROR(INDEX(CHOOSE(MATCH($X30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30" t="str" cm="1">
        <f t="array" ref="AU30">IFERROR(INDEX(CHOOSE(MATCH($X30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30" t="str" cm="1">
        <f t="array" ref="AV30">IFERROR(INDEX(CHOOSE(MATCH($X30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30" t="str" cm="1">
        <f t="array" ref="AW30">IFERROR(INDEX(CHOOSE(MATCH($X30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30" t="str" cm="1">
        <f t="array" ref="AX30">IFERROR(INDEX(CHOOSE(MATCH($X30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30" t="str" cm="1">
        <f t="array" ref="AY30">IFERROR(INDEX(CHOOSE(MATCH($X30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30" t="str" cm="1">
        <f t="array" ref="AZ30">IFERROR(INDEX(CHOOSE(MATCH($X30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30" t="str" cm="1">
        <f t="array" ref="BA30">IFERROR(INDEX(CHOOSE(MATCH($X30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30" t="str" cm="1">
        <f t="array" ref="BB30">IFERROR(INDEX(CHOOSE(MATCH($X30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30" t="str" cm="1">
        <f t="array" ref="BC30">IFERROR(INDEX(CHOOSE(MATCH($X30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30" t="str" cm="1">
        <f t="array" ref="BD30">IFERROR(INDEX(CHOOSE(MATCH($X30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30" t="str" cm="1">
        <f t="array" ref="BE30">IFERROR(INDEX(CHOOSE(MATCH($X30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30" t="str" cm="1">
        <f t="array" ref="BF30">IFERROR(INDEX(CHOOSE(MATCH($X30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30" t="str" cm="1">
        <f t="array" ref="BG30">IFERROR(INDEX(CHOOSE(MATCH($X30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30" s="4" t="e">
        <f>AVERAGE(Table2[[#This Row],[11-Mar]:[Column33]])</f>
        <v>#DIV/0!</v>
      </c>
      <c r="BJ30">
        <f>COUNT(Table2[[#This Row],[11-Mar]:[Column33]])</f>
        <v>0</v>
      </c>
    </row>
    <row r="31" spans="1:62" x14ac:dyDescent="0.45">
      <c r="A31" s="38">
        <v>46120</v>
      </c>
      <c r="B31" s="39" t="s">
        <v>76</v>
      </c>
      <c r="C31" s="39">
        <v>0</v>
      </c>
      <c r="D31" s="39"/>
      <c r="E31" s="39" t="s">
        <v>72</v>
      </c>
      <c r="F31" s="39">
        <v>2</v>
      </c>
      <c r="G31" s="39"/>
      <c r="H31" s="39" t="s">
        <v>31</v>
      </c>
      <c r="I31" s="39">
        <v>0</v>
      </c>
      <c r="J31" s="39"/>
      <c r="K31" s="39" t="s">
        <v>147</v>
      </c>
      <c r="L31" s="39">
        <v>-1</v>
      </c>
      <c r="M31" s="39"/>
      <c r="N31" s="39"/>
      <c r="O31" s="39"/>
      <c r="P31" s="39"/>
      <c r="Q31" s="39"/>
      <c r="R31" s="39"/>
      <c r="S31" s="39"/>
      <c r="T31" s="39">
        <f t="shared" si="0"/>
        <v>1</v>
      </c>
      <c r="U31" s="39" t="s">
        <v>155</v>
      </c>
      <c r="X31" t="s">
        <v>81</v>
      </c>
      <c r="Z31" s="6"/>
      <c r="AA31" s="10" t="e">
        <f>AVERAGE(Table2[[#This Row],[11-Mar]:[Column33]])</f>
        <v>#DIV/0!</v>
      </c>
      <c r="AC31" t="str" cm="1">
        <f t="array" ref="AC31">IFERROR(INDEX(CHOOSE(MATCH($X31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31" t="str" cm="1">
        <f t="array" ref="AD31">IFERROR(INDEX(CHOOSE(MATCH($X31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31" t="str" cm="1">
        <f t="array" ref="AE31">IFERROR(INDEX(CHOOSE(MATCH($X31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31" t="str" cm="1">
        <f t="array" ref="AF31">IFERROR(INDEX(CHOOSE(MATCH($X31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31" t="str" cm="1">
        <f t="array" ref="AG31">IFERROR(INDEX(CHOOSE(MATCH($X31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31" t="str" cm="1">
        <f t="array" ref="AH31">IFERROR(INDEX(CHOOSE(MATCH($X31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31" t="str" cm="1">
        <f t="array" ref="AI31">IFERROR(INDEX(CHOOSE(MATCH($X31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31" t="str" cm="1">
        <f t="array" ref="AJ31">IFERROR(INDEX(CHOOSE(MATCH($X31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31" t="str" cm="1">
        <f t="array" ref="AK31">IFERROR(INDEX(CHOOSE(MATCH($X31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31" t="str" cm="1">
        <f t="array" ref="AL31">IFERROR(INDEX(CHOOSE(MATCH($X31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31" t="str" cm="1">
        <f t="array" ref="AM31">IFERROR(INDEX(CHOOSE(MATCH($X31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31" t="str" cm="1">
        <f t="array" ref="AN31">IFERROR(INDEX(CHOOSE(MATCH($X31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31" t="str" cm="1">
        <f t="array" ref="AO31">IFERROR(INDEX(CHOOSE(MATCH($X31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31" t="str" cm="1">
        <f t="array" ref="AP31">IFERROR(INDEX(CHOOSE(MATCH($X31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31" t="str" cm="1">
        <f t="array" ref="AQ31">IFERROR(INDEX(CHOOSE(MATCH($X31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31" t="str" cm="1">
        <f t="array" ref="AR31">IFERROR(INDEX(CHOOSE(MATCH($X31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31" t="str" cm="1">
        <f t="array" ref="AS31">IFERROR(INDEX(CHOOSE(MATCH($X31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31" t="str" cm="1">
        <f t="array" ref="AT31">IFERROR(INDEX(CHOOSE(MATCH($X31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31" t="str" cm="1">
        <f t="array" ref="AU31">IFERROR(INDEX(CHOOSE(MATCH($X31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31" t="str" cm="1">
        <f t="array" ref="AV31">IFERROR(INDEX(CHOOSE(MATCH($X31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31" t="str" cm="1">
        <f t="array" ref="AW31">IFERROR(INDEX(CHOOSE(MATCH($X31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31" t="str" cm="1">
        <f t="array" ref="AX31">IFERROR(INDEX(CHOOSE(MATCH($X31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31" t="str" cm="1">
        <f t="array" ref="AY31">IFERROR(INDEX(CHOOSE(MATCH($X31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31" t="str" cm="1">
        <f t="array" ref="AZ31">IFERROR(INDEX(CHOOSE(MATCH($X31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31" t="str" cm="1">
        <f t="array" ref="BA31">IFERROR(INDEX(CHOOSE(MATCH($X31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31" t="str" cm="1">
        <f t="array" ref="BB31">IFERROR(INDEX(CHOOSE(MATCH($X31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31" t="str" cm="1">
        <f t="array" ref="BC31">IFERROR(INDEX(CHOOSE(MATCH($X31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31" t="str" cm="1">
        <f t="array" ref="BD31">IFERROR(INDEX(CHOOSE(MATCH($X31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31" t="str" cm="1">
        <f t="array" ref="BE31">IFERROR(INDEX(CHOOSE(MATCH($X31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31" t="str" cm="1">
        <f t="array" ref="BF31">IFERROR(INDEX(CHOOSE(MATCH($X31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31" t="str" cm="1">
        <f t="array" ref="BG31">IFERROR(INDEX(CHOOSE(MATCH($X31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31" s="4" t="e">
        <f>AVERAGE(Table2[[#This Row],[11-Mar]:[Column33]])</f>
        <v>#DIV/0!</v>
      </c>
      <c r="BJ31">
        <f>COUNT(Table2[[#This Row],[11-Mar]:[Column33]])</f>
        <v>0</v>
      </c>
    </row>
    <row r="32" spans="1:62" x14ac:dyDescent="0.45">
      <c r="A32" s="34">
        <v>46120</v>
      </c>
      <c r="B32" t="s">
        <v>37</v>
      </c>
      <c r="C32">
        <v>1</v>
      </c>
      <c r="D32" s="37">
        <v>1</v>
      </c>
      <c r="E32" t="s">
        <v>36</v>
      </c>
      <c r="F32">
        <v>5</v>
      </c>
      <c r="H32" t="s">
        <v>33</v>
      </c>
      <c r="I32">
        <v>1</v>
      </c>
      <c r="J32" s="37">
        <v>1</v>
      </c>
      <c r="K32" t="s">
        <v>148</v>
      </c>
      <c r="L32">
        <v>2</v>
      </c>
      <c r="M32" s="37">
        <v>1</v>
      </c>
      <c r="T32">
        <f t="shared" si="0"/>
        <v>9</v>
      </c>
      <c r="V32" s="37">
        <v>3</v>
      </c>
      <c r="X32" t="s">
        <v>48</v>
      </c>
      <c r="Z32" s="6">
        <v>1</v>
      </c>
      <c r="AA32" s="10">
        <f>AVERAGE(Table2[[#This Row],[11-Mar]:[Column33]])</f>
        <v>-0.66666666666666663</v>
      </c>
      <c r="AC32" t="str" cm="1">
        <f t="array" ref="AC32">IFERROR(INDEX(CHOOSE(MATCH($X32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32" t="str" cm="1">
        <f t="array" ref="AD32">IFERROR(INDEX(CHOOSE(MATCH($X32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32" t="str" cm="1">
        <f t="array" ref="AE32">IFERROR(INDEX(CHOOSE(MATCH($X32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32" t="str" cm="1">
        <f t="array" ref="AF32">IFERROR(INDEX(CHOOSE(MATCH($X32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32">
        <v>0</v>
      </c>
      <c r="AH32">
        <v>0</v>
      </c>
      <c r="AI32">
        <v>-2</v>
      </c>
      <c r="AJ32" t="str" cm="1">
        <f t="array" ref="AJ32">IFERROR(INDEX(CHOOSE(MATCH($X32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32" t="str" cm="1">
        <f t="array" ref="AK32">IFERROR(INDEX(CHOOSE(MATCH($X32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32" t="str" cm="1">
        <f t="array" ref="AL32">IFERROR(INDEX(CHOOSE(MATCH($X32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32" t="str" cm="1">
        <f t="array" ref="AM32">IFERROR(INDEX(CHOOSE(MATCH($X32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32" t="str" cm="1">
        <f t="array" ref="AN32">IFERROR(INDEX(CHOOSE(MATCH($X32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32" t="str" cm="1">
        <f t="array" ref="AO32">IFERROR(INDEX(CHOOSE(MATCH($X32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32" t="str" cm="1">
        <f t="array" ref="AP32">IFERROR(INDEX(CHOOSE(MATCH($X32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32" t="str" cm="1">
        <f t="array" ref="AQ32">IFERROR(INDEX(CHOOSE(MATCH($X32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32" t="str" cm="1">
        <f t="array" ref="AR32">IFERROR(INDEX(CHOOSE(MATCH($X32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32" t="str" cm="1">
        <f t="array" ref="AS32">IFERROR(INDEX(CHOOSE(MATCH($X32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32" t="str" cm="1">
        <f t="array" ref="AT32">IFERROR(INDEX(CHOOSE(MATCH($X32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32" t="str" cm="1">
        <f t="array" ref="AU32">IFERROR(INDEX(CHOOSE(MATCH($X32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32" t="str" cm="1">
        <f t="array" ref="AV32">IFERROR(INDEX(CHOOSE(MATCH($X32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32" t="str" cm="1">
        <f t="array" ref="AW32">IFERROR(INDEX(CHOOSE(MATCH($X32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32" t="str" cm="1">
        <f t="array" ref="AX32">IFERROR(INDEX(CHOOSE(MATCH($X32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32" t="str" cm="1">
        <f t="array" ref="AY32">IFERROR(INDEX(CHOOSE(MATCH($X32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32" t="str" cm="1">
        <f t="array" ref="AZ32">IFERROR(INDEX(CHOOSE(MATCH($X32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32" t="str" cm="1">
        <f t="array" ref="BA32">IFERROR(INDEX(CHOOSE(MATCH($X32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32" t="str" cm="1">
        <f t="array" ref="BB32">IFERROR(INDEX(CHOOSE(MATCH($X32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32" t="str" cm="1">
        <f t="array" ref="BC32">IFERROR(INDEX(CHOOSE(MATCH($X32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32" t="str" cm="1">
        <f t="array" ref="BD32">IFERROR(INDEX(CHOOSE(MATCH($X32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32" t="str" cm="1">
        <f t="array" ref="BE32">IFERROR(INDEX(CHOOSE(MATCH($X32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32" t="str" cm="1">
        <f t="array" ref="BF32">IFERROR(INDEX(CHOOSE(MATCH($X32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32" t="str" cm="1">
        <f t="array" ref="BG32">IFERROR(INDEX(CHOOSE(MATCH($X32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32" s="4">
        <f>AVERAGE(Table2[[#This Row],[11-Mar]:[Column33]])</f>
        <v>-0.66666666666666663</v>
      </c>
      <c r="BJ32">
        <f>COUNT(Table2[[#This Row],[11-Mar]:[Column33]])</f>
        <v>3</v>
      </c>
    </row>
    <row r="33" spans="1:62" x14ac:dyDescent="0.45">
      <c r="A33" s="34">
        <v>46120</v>
      </c>
      <c r="B33" t="s">
        <v>144</v>
      </c>
      <c r="C33">
        <v>-1</v>
      </c>
      <c r="E33" t="s">
        <v>29</v>
      </c>
      <c r="F33">
        <v>1</v>
      </c>
      <c r="H33" t="s">
        <v>58</v>
      </c>
      <c r="I33">
        <v>-2</v>
      </c>
      <c r="K33" t="s">
        <v>46</v>
      </c>
      <c r="L33">
        <v>3</v>
      </c>
      <c r="T33">
        <f t="shared" si="0"/>
        <v>1</v>
      </c>
      <c r="X33" t="s">
        <v>153</v>
      </c>
      <c r="Z33" s="6">
        <v>1</v>
      </c>
      <c r="AA33" s="10">
        <f>AVERAGE(Table2[[#This Row],[11-Mar]:[Column33]])</f>
        <v>1</v>
      </c>
      <c r="AC33" t="str" cm="1">
        <f t="array" ref="AC33">IFERROR(INDEX(CHOOSE(MATCH($X33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33" t="str" cm="1">
        <f t="array" ref="AD33">IFERROR(INDEX(CHOOSE(MATCH($X33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33">
        <v>0</v>
      </c>
      <c r="AF33" t="str" cm="1">
        <f t="array" ref="AF33">IFERROR(INDEX(CHOOSE(MATCH($X33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33">
        <v>2</v>
      </c>
      <c r="AH33" t="str" cm="1">
        <f t="array" ref="AH33">IFERROR(INDEX(CHOOSE(MATCH($X33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33" t="str" cm="1">
        <f t="array" ref="AI33">IFERROR(INDEX(CHOOSE(MATCH($X33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33" t="str" cm="1">
        <f t="array" ref="AJ33">IFERROR(INDEX(CHOOSE(MATCH($X33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33" t="str" cm="1">
        <f t="array" ref="AK33">IFERROR(INDEX(CHOOSE(MATCH($X33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33" t="str" cm="1">
        <f t="array" ref="AL33">IFERROR(INDEX(CHOOSE(MATCH($X33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33" t="str" cm="1">
        <f t="array" ref="AM33">IFERROR(INDEX(CHOOSE(MATCH($X33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33" t="str" cm="1">
        <f t="array" ref="AN33">IFERROR(INDEX(CHOOSE(MATCH($X33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33" t="str" cm="1">
        <f t="array" ref="AO33">IFERROR(INDEX(CHOOSE(MATCH($X33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33" t="str" cm="1">
        <f t="array" ref="AP33">IFERROR(INDEX(CHOOSE(MATCH($X33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33" t="str" cm="1">
        <f t="array" ref="AQ33">IFERROR(INDEX(CHOOSE(MATCH($X33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33" t="str" cm="1">
        <f t="array" ref="AR33">IFERROR(INDEX(CHOOSE(MATCH($X33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33" t="str" cm="1">
        <f t="array" ref="AS33">IFERROR(INDEX(CHOOSE(MATCH($X33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33" t="str" cm="1">
        <f t="array" ref="AT33">IFERROR(INDEX(CHOOSE(MATCH($X33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33" t="str" cm="1">
        <f t="array" ref="AU33">IFERROR(INDEX(CHOOSE(MATCH($X33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33" t="str" cm="1">
        <f t="array" ref="AV33">IFERROR(INDEX(CHOOSE(MATCH($X33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33" t="str" cm="1">
        <f t="array" ref="AW33">IFERROR(INDEX(CHOOSE(MATCH($X33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33" t="str" cm="1">
        <f t="array" ref="AX33">IFERROR(INDEX(CHOOSE(MATCH($X33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33" t="str" cm="1">
        <f t="array" ref="AY33">IFERROR(INDEX(CHOOSE(MATCH($X33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33" t="str" cm="1">
        <f t="array" ref="AZ33">IFERROR(INDEX(CHOOSE(MATCH($X33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33" t="str" cm="1">
        <f t="array" ref="BA33">IFERROR(INDEX(CHOOSE(MATCH($X33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33" t="str" cm="1">
        <f t="array" ref="BB33">IFERROR(INDEX(CHOOSE(MATCH($X33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33" t="str" cm="1">
        <f t="array" ref="BC33">IFERROR(INDEX(CHOOSE(MATCH($X33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33" t="str" cm="1">
        <f t="array" ref="BD33">IFERROR(INDEX(CHOOSE(MATCH($X33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33" t="str" cm="1">
        <f t="array" ref="BE33">IFERROR(INDEX(CHOOSE(MATCH($X33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33" t="str" cm="1">
        <f t="array" ref="BF33">IFERROR(INDEX(CHOOSE(MATCH($X33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33" t="str" cm="1">
        <f t="array" ref="BG33">IFERROR(INDEX(CHOOSE(MATCH($X33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33" s="4">
        <f>AVERAGE(Table2[[#This Row],[11-Mar]:[Column33]])</f>
        <v>1</v>
      </c>
      <c r="BJ33">
        <f>COUNT(Table2[[#This Row],[11-Mar]:[Column33]])</f>
        <v>2</v>
      </c>
    </row>
    <row r="34" spans="1:62" x14ac:dyDescent="0.45">
      <c r="A34" s="34">
        <v>46120</v>
      </c>
      <c r="B34" t="s">
        <v>60</v>
      </c>
      <c r="C34">
        <v>7</v>
      </c>
      <c r="E34" t="s">
        <v>52</v>
      </c>
      <c r="F34">
        <v>-1</v>
      </c>
      <c r="H34" t="s">
        <v>65</v>
      </c>
      <c r="I34">
        <v>7</v>
      </c>
      <c r="K34" t="s">
        <v>104</v>
      </c>
      <c r="L34">
        <v>5</v>
      </c>
      <c r="T34">
        <f t="shared" si="0"/>
        <v>18</v>
      </c>
      <c r="X34" t="s">
        <v>62</v>
      </c>
      <c r="Z34" s="6"/>
      <c r="AA34" s="10">
        <f>AVERAGE(Table2[[#This Row],[11-Mar]:[Column33]])</f>
        <v>2</v>
      </c>
      <c r="AC34" t="str" cm="1">
        <f t="array" ref="AC34">IFERROR(INDEX(CHOOSE(MATCH($X34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34" t="str" cm="1">
        <f t="array" ref="AD34">IFERROR(INDEX(CHOOSE(MATCH($X34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34" t="str" cm="1">
        <f t="array" ref="AE34">IFERROR(INDEX(CHOOSE(MATCH($X34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34" t="str" cm="1">
        <f t="array" ref="AF34">IFERROR(INDEX(CHOOSE(MATCH($X34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34" t="str" cm="1">
        <f t="array" ref="AG34">IFERROR(INDEX(CHOOSE(MATCH($X34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34">
        <v>2</v>
      </c>
      <c r="AI34" t="str" cm="1">
        <f t="array" ref="AI34">IFERROR(INDEX(CHOOSE(MATCH($X34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34" t="str" cm="1">
        <f t="array" ref="AJ34">IFERROR(INDEX(CHOOSE(MATCH($X34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34" t="str" cm="1">
        <f t="array" ref="AK34">IFERROR(INDEX(CHOOSE(MATCH($X34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34" t="str" cm="1">
        <f t="array" ref="AL34">IFERROR(INDEX(CHOOSE(MATCH($X34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34" t="str" cm="1">
        <f t="array" ref="AM34">IFERROR(INDEX(CHOOSE(MATCH($X34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34" t="str" cm="1">
        <f t="array" ref="AN34">IFERROR(INDEX(CHOOSE(MATCH($X34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34" t="str" cm="1">
        <f t="array" ref="AO34">IFERROR(INDEX(CHOOSE(MATCH($X34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34" t="str" cm="1">
        <f t="array" ref="AP34">IFERROR(INDEX(CHOOSE(MATCH($X34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34" t="str" cm="1">
        <f t="array" ref="AQ34">IFERROR(INDEX(CHOOSE(MATCH($X34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34" t="str" cm="1">
        <f t="array" ref="AR34">IFERROR(INDEX(CHOOSE(MATCH($X34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34" t="str" cm="1">
        <f t="array" ref="AS34">IFERROR(INDEX(CHOOSE(MATCH($X34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34" t="str" cm="1">
        <f t="array" ref="AT34">IFERROR(INDEX(CHOOSE(MATCH($X34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34" t="str" cm="1">
        <f t="array" ref="AU34">IFERROR(INDEX(CHOOSE(MATCH($X34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34" t="str" cm="1">
        <f t="array" ref="AV34">IFERROR(INDEX(CHOOSE(MATCH($X34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34" t="str" cm="1">
        <f t="array" ref="AW34">IFERROR(INDEX(CHOOSE(MATCH($X34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34" t="str" cm="1">
        <f t="array" ref="AX34">IFERROR(INDEX(CHOOSE(MATCH($X34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34" t="str" cm="1">
        <f t="array" ref="AY34">IFERROR(INDEX(CHOOSE(MATCH($X34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34" t="str" cm="1">
        <f t="array" ref="AZ34">IFERROR(INDEX(CHOOSE(MATCH($X34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34" t="str" cm="1">
        <f t="array" ref="BA34">IFERROR(INDEX(CHOOSE(MATCH($X34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34" t="str" cm="1">
        <f t="array" ref="BB34">IFERROR(INDEX(CHOOSE(MATCH($X34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34" t="str" cm="1">
        <f t="array" ref="BC34">IFERROR(INDEX(CHOOSE(MATCH($X34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34" t="str" cm="1">
        <f t="array" ref="BD34">IFERROR(INDEX(CHOOSE(MATCH($X34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34" t="str" cm="1">
        <f t="array" ref="BE34">IFERROR(INDEX(CHOOSE(MATCH($X34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34" t="str" cm="1">
        <f t="array" ref="BF34">IFERROR(INDEX(CHOOSE(MATCH($X34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34" t="str" cm="1">
        <f t="array" ref="BG34">IFERROR(INDEX(CHOOSE(MATCH($X34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34" s="4">
        <f>AVERAGE(Table2[[#This Row],[11-Mar]:[Column33]])</f>
        <v>2</v>
      </c>
      <c r="BJ34">
        <f>COUNT(Table2[[#This Row],[11-Mar]:[Column33]])</f>
        <v>1</v>
      </c>
    </row>
    <row r="35" spans="1:62" x14ac:dyDescent="0.45">
      <c r="A35" s="34">
        <v>46120</v>
      </c>
      <c r="B35" t="s">
        <v>156</v>
      </c>
      <c r="C35">
        <v>-1</v>
      </c>
      <c r="E35" t="s">
        <v>40</v>
      </c>
      <c r="F35">
        <v>1</v>
      </c>
      <c r="H35" t="s">
        <v>73</v>
      </c>
      <c r="I35">
        <v>3</v>
      </c>
      <c r="K35" t="s">
        <v>49</v>
      </c>
      <c r="L35">
        <v>2</v>
      </c>
      <c r="T35">
        <f t="shared" si="0"/>
        <v>5</v>
      </c>
      <c r="X35" t="s">
        <v>83</v>
      </c>
      <c r="Z35" s="6"/>
      <c r="AA35" s="10" t="e">
        <f>AVERAGE(Table2[[#This Row],[11-Mar]:[Column33]])</f>
        <v>#DIV/0!</v>
      </c>
      <c r="AC35" t="str" cm="1">
        <f t="array" ref="AC35">IFERROR(INDEX(CHOOSE(MATCH($X35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35" t="str" cm="1">
        <f t="array" ref="AD35">IFERROR(INDEX(CHOOSE(MATCH($X35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35" t="str" cm="1">
        <f t="array" ref="AE35">IFERROR(INDEX(CHOOSE(MATCH($X35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35" t="str" cm="1">
        <f t="array" ref="AF35">IFERROR(INDEX(CHOOSE(MATCH($X35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35" t="str" cm="1">
        <f t="array" ref="AG35">IFERROR(INDEX(CHOOSE(MATCH($X35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35" t="str" cm="1">
        <f t="array" ref="AH35">IFERROR(INDEX(CHOOSE(MATCH($X35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35" t="str" cm="1">
        <f t="array" ref="AI35">IFERROR(INDEX(CHOOSE(MATCH($X35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35" t="str" cm="1">
        <f t="array" ref="AJ35">IFERROR(INDEX(CHOOSE(MATCH($X35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35" t="str" cm="1">
        <f t="array" ref="AK35">IFERROR(INDEX(CHOOSE(MATCH($X35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35" t="str" cm="1">
        <f t="array" ref="AL35">IFERROR(INDEX(CHOOSE(MATCH($X35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35" t="str" cm="1">
        <f t="array" ref="AM35">IFERROR(INDEX(CHOOSE(MATCH($X35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35" t="str" cm="1">
        <f t="array" ref="AN35">IFERROR(INDEX(CHOOSE(MATCH($X35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35" t="str" cm="1">
        <f t="array" ref="AO35">IFERROR(INDEX(CHOOSE(MATCH($X35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35" t="str" cm="1">
        <f t="array" ref="AP35">IFERROR(INDEX(CHOOSE(MATCH($X35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35" t="str" cm="1">
        <f t="array" ref="AQ35">IFERROR(INDEX(CHOOSE(MATCH($X35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35" t="str" cm="1">
        <f t="array" ref="AR35">IFERROR(INDEX(CHOOSE(MATCH($X35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35" t="str" cm="1">
        <f t="array" ref="AS35">IFERROR(INDEX(CHOOSE(MATCH($X35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35" t="str" cm="1">
        <f t="array" ref="AT35">IFERROR(INDEX(CHOOSE(MATCH($X35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35" t="str" cm="1">
        <f t="array" ref="AU35">IFERROR(INDEX(CHOOSE(MATCH($X35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35" t="str" cm="1">
        <f t="array" ref="AV35">IFERROR(INDEX(CHOOSE(MATCH($X35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35" t="str" cm="1">
        <f t="array" ref="AW35">IFERROR(INDEX(CHOOSE(MATCH($X35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35" t="str" cm="1">
        <f t="array" ref="AX35">IFERROR(INDEX(CHOOSE(MATCH($X35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35" t="str" cm="1">
        <f t="array" ref="AY35">IFERROR(INDEX(CHOOSE(MATCH($X35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35" t="str" cm="1">
        <f t="array" ref="AZ35">IFERROR(INDEX(CHOOSE(MATCH($X35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35" t="str" cm="1">
        <f t="array" ref="BA35">IFERROR(INDEX(CHOOSE(MATCH($X35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35" t="str" cm="1">
        <f t="array" ref="BB35">IFERROR(INDEX(CHOOSE(MATCH($X35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35" t="str" cm="1">
        <f t="array" ref="BC35">IFERROR(INDEX(CHOOSE(MATCH($X35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35" t="str" cm="1">
        <f t="array" ref="BD35">IFERROR(INDEX(CHOOSE(MATCH($X35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35" t="str" cm="1">
        <f t="array" ref="BE35">IFERROR(INDEX(CHOOSE(MATCH($X35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35" t="str" cm="1">
        <f t="array" ref="BF35">IFERROR(INDEX(CHOOSE(MATCH($X35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35" t="str" cm="1">
        <f t="array" ref="BG35">IFERROR(INDEX(CHOOSE(MATCH($X35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35" s="4" t="e">
        <f>AVERAGE(Table2[[#This Row],[11-Mar]:[Column33]])</f>
        <v>#DIV/0!</v>
      </c>
      <c r="BJ35">
        <f>COUNT(Table2[[#This Row],[11-Mar]:[Column33]])</f>
        <v>0</v>
      </c>
    </row>
    <row r="36" spans="1:62" x14ac:dyDescent="0.45">
      <c r="A36" s="34">
        <v>46120</v>
      </c>
      <c r="B36" t="s">
        <v>28</v>
      </c>
      <c r="C36">
        <v>3</v>
      </c>
      <c r="E36" t="s">
        <v>98</v>
      </c>
      <c r="F36">
        <v>0</v>
      </c>
      <c r="H36" t="s">
        <v>50</v>
      </c>
      <c r="I36">
        <v>2</v>
      </c>
      <c r="K36" t="s">
        <v>71</v>
      </c>
      <c r="L36">
        <v>-3</v>
      </c>
      <c r="T36">
        <f t="shared" si="0"/>
        <v>2</v>
      </c>
      <c r="X36" t="s">
        <v>84</v>
      </c>
      <c r="Z36" s="6"/>
      <c r="AA36" s="10" t="e">
        <f>AVERAGE(Table2[[#This Row],[11-Mar]:[Column33]])</f>
        <v>#DIV/0!</v>
      </c>
      <c r="AC36" t="str" cm="1">
        <f t="array" ref="AC36">IFERROR(INDEX(CHOOSE(MATCH($X36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36" t="str" cm="1">
        <f t="array" ref="AD36">IFERROR(INDEX(CHOOSE(MATCH($X36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36" t="str" cm="1">
        <f t="array" ref="AE36">IFERROR(INDEX(CHOOSE(MATCH($X36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36" t="str" cm="1">
        <f t="array" ref="AF36">IFERROR(INDEX(CHOOSE(MATCH($X36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36" t="str" cm="1">
        <f t="array" ref="AG36">IFERROR(INDEX(CHOOSE(MATCH($X36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36" t="str" cm="1">
        <f t="array" ref="AH36">IFERROR(INDEX(CHOOSE(MATCH($X36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36" t="str" cm="1">
        <f t="array" ref="AI36">IFERROR(INDEX(CHOOSE(MATCH($X36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36" t="str" cm="1">
        <f t="array" ref="AJ36">IFERROR(INDEX(CHOOSE(MATCH($X36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36" t="str" cm="1">
        <f t="array" ref="AK36">IFERROR(INDEX(CHOOSE(MATCH($X36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36" t="str" cm="1">
        <f t="array" ref="AL36">IFERROR(INDEX(CHOOSE(MATCH($X36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36" t="str" cm="1">
        <f t="array" ref="AM36">IFERROR(INDEX(CHOOSE(MATCH($X36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36" t="str" cm="1">
        <f t="array" ref="AN36">IFERROR(INDEX(CHOOSE(MATCH($X36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36" t="str" cm="1">
        <f t="array" ref="AO36">IFERROR(INDEX(CHOOSE(MATCH($X36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36" t="str" cm="1">
        <f t="array" ref="AP36">IFERROR(INDEX(CHOOSE(MATCH($X36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36" t="str" cm="1">
        <f t="array" ref="AQ36">IFERROR(INDEX(CHOOSE(MATCH($X36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36" t="str" cm="1">
        <f t="array" ref="AR36">IFERROR(INDEX(CHOOSE(MATCH($X36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36" t="str" cm="1">
        <f t="array" ref="AS36">IFERROR(INDEX(CHOOSE(MATCH($X36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36" t="str" cm="1">
        <f t="array" ref="AT36">IFERROR(INDEX(CHOOSE(MATCH($X36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36" t="str" cm="1">
        <f t="array" ref="AU36">IFERROR(INDEX(CHOOSE(MATCH($X36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36" t="str" cm="1">
        <f t="array" ref="AV36">IFERROR(INDEX(CHOOSE(MATCH($X36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36" t="str" cm="1">
        <f t="array" ref="AW36">IFERROR(INDEX(CHOOSE(MATCH($X36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36" t="str" cm="1">
        <f t="array" ref="AX36">IFERROR(INDEX(CHOOSE(MATCH($X36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36" t="str" cm="1">
        <f t="array" ref="AY36">IFERROR(INDEX(CHOOSE(MATCH($X36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36" t="str" cm="1">
        <f t="array" ref="AZ36">IFERROR(INDEX(CHOOSE(MATCH($X36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36" t="str" cm="1">
        <f t="array" ref="BA36">IFERROR(INDEX(CHOOSE(MATCH($X36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36" t="str" cm="1">
        <f t="array" ref="BB36">IFERROR(INDEX(CHOOSE(MATCH($X36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36" t="str" cm="1">
        <f t="array" ref="BC36">IFERROR(INDEX(CHOOSE(MATCH($X36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36" t="str" cm="1">
        <f t="array" ref="BD36">IFERROR(INDEX(CHOOSE(MATCH($X36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36" t="str" cm="1">
        <f t="array" ref="BE36">IFERROR(INDEX(CHOOSE(MATCH($X36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36" t="str" cm="1">
        <f t="array" ref="BF36">IFERROR(INDEX(CHOOSE(MATCH($X36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36" t="str" cm="1">
        <f t="array" ref="BG36">IFERROR(INDEX(CHOOSE(MATCH($X36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36" s="4" t="e">
        <f>AVERAGE(Table2[[#This Row],[11-Mar]:[Column33]])</f>
        <v>#DIV/0!</v>
      </c>
      <c r="BJ36">
        <f>COUNT(Table2[[#This Row],[11-Mar]:[Column33]])</f>
        <v>0</v>
      </c>
    </row>
    <row r="37" spans="1:62" x14ac:dyDescent="0.45">
      <c r="A37" s="34">
        <v>46120</v>
      </c>
      <c r="B37" t="s">
        <v>56</v>
      </c>
      <c r="C37">
        <v>2</v>
      </c>
      <c r="E37" t="s">
        <v>67</v>
      </c>
      <c r="F37">
        <v>-1</v>
      </c>
      <c r="H37" t="s">
        <v>69</v>
      </c>
      <c r="I37">
        <v>2</v>
      </c>
      <c r="K37" t="s">
        <v>43</v>
      </c>
      <c r="L37">
        <v>2</v>
      </c>
      <c r="T37">
        <f t="shared" si="0"/>
        <v>5</v>
      </c>
      <c r="X37" t="s">
        <v>65</v>
      </c>
      <c r="Z37" s="6"/>
      <c r="AA37" s="10">
        <f>AVERAGE(Table2[[#This Row],[11-Mar]:[Column33]])</f>
        <v>7</v>
      </c>
      <c r="AC37" t="str" cm="1">
        <f t="array" ref="AC37">IFERROR(INDEX(CHOOSE(MATCH($X37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37" t="str" cm="1">
        <f t="array" ref="AD37">IFERROR(INDEX(CHOOSE(MATCH($X37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37" t="str" cm="1">
        <f t="array" ref="AE37">IFERROR(INDEX(CHOOSE(MATCH($X37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37">
        <v>7</v>
      </c>
      <c r="AG37" t="str" cm="1">
        <f t="array" ref="AG37">IFERROR(INDEX(CHOOSE(MATCH($X37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37" t="str" cm="1">
        <f t="array" ref="AH37">IFERROR(INDEX(CHOOSE(MATCH($X37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37" t="str" cm="1">
        <f t="array" ref="AI37">IFERROR(INDEX(CHOOSE(MATCH($X37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37" t="str" cm="1">
        <f t="array" ref="AJ37">IFERROR(INDEX(CHOOSE(MATCH($X37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37" t="str" cm="1">
        <f t="array" ref="AK37">IFERROR(INDEX(CHOOSE(MATCH($X37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37" t="str" cm="1">
        <f t="array" ref="AL37">IFERROR(INDEX(CHOOSE(MATCH($X37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37" t="str" cm="1">
        <f t="array" ref="AM37">IFERROR(INDEX(CHOOSE(MATCH($X37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37" t="str" cm="1">
        <f t="array" ref="AN37">IFERROR(INDEX(CHOOSE(MATCH($X37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37" t="str" cm="1">
        <f t="array" ref="AO37">IFERROR(INDEX(CHOOSE(MATCH($X37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37" t="str" cm="1">
        <f t="array" ref="AP37">IFERROR(INDEX(CHOOSE(MATCH($X37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37" t="str" cm="1">
        <f t="array" ref="AQ37">IFERROR(INDEX(CHOOSE(MATCH($X37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37" t="str" cm="1">
        <f t="array" ref="AR37">IFERROR(INDEX(CHOOSE(MATCH($X37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37" t="str" cm="1">
        <f t="array" ref="AS37">IFERROR(INDEX(CHOOSE(MATCH($X37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37" t="str" cm="1">
        <f t="array" ref="AT37">IFERROR(INDEX(CHOOSE(MATCH($X37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37" t="str" cm="1">
        <f t="array" ref="AU37">IFERROR(INDEX(CHOOSE(MATCH($X37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37" t="str" cm="1">
        <f t="array" ref="AV37">IFERROR(INDEX(CHOOSE(MATCH($X37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37" t="str" cm="1">
        <f t="array" ref="AW37">IFERROR(INDEX(CHOOSE(MATCH($X37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37" t="str" cm="1">
        <f t="array" ref="AX37">IFERROR(INDEX(CHOOSE(MATCH($X37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37" t="str" cm="1">
        <f t="array" ref="AY37">IFERROR(INDEX(CHOOSE(MATCH($X37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37" t="str" cm="1">
        <f t="array" ref="AZ37">IFERROR(INDEX(CHOOSE(MATCH($X37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37" t="str" cm="1">
        <f t="array" ref="BA37">IFERROR(INDEX(CHOOSE(MATCH($X37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37" t="str" cm="1">
        <f t="array" ref="BB37">IFERROR(INDEX(CHOOSE(MATCH($X37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37" t="str" cm="1">
        <f t="array" ref="BC37">IFERROR(INDEX(CHOOSE(MATCH($X37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37" t="str" cm="1">
        <f t="array" ref="BD37">IFERROR(INDEX(CHOOSE(MATCH($X37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37" t="str" cm="1">
        <f t="array" ref="BE37">IFERROR(INDEX(CHOOSE(MATCH($X37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37" t="str" cm="1">
        <f t="array" ref="BF37">IFERROR(INDEX(CHOOSE(MATCH($X37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37" t="str" cm="1">
        <f t="array" ref="BG37">IFERROR(INDEX(CHOOSE(MATCH($X37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37" s="4">
        <f>AVERAGE(Table2[[#This Row],[11-Mar]:[Column33]])</f>
        <v>7</v>
      </c>
      <c r="BJ37">
        <f>COUNT(Table2[[#This Row],[11-Mar]:[Column33]])</f>
        <v>1</v>
      </c>
    </row>
    <row r="38" spans="1:62" x14ac:dyDescent="0.45">
      <c r="A38" s="34">
        <v>46127</v>
      </c>
      <c r="B38" t="s">
        <v>40</v>
      </c>
      <c r="C38">
        <v>5</v>
      </c>
      <c r="E38" t="s">
        <v>157</v>
      </c>
      <c r="F38">
        <v>0</v>
      </c>
      <c r="H38" t="s">
        <v>31</v>
      </c>
      <c r="I38">
        <v>-2</v>
      </c>
      <c r="K38" t="s">
        <v>48</v>
      </c>
      <c r="L38">
        <v>0</v>
      </c>
      <c r="N38" t="s">
        <v>29</v>
      </c>
      <c r="O38">
        <v>2</v>
      </c>
      <c r="T38">
        <f t="shared" si="0"/>
        <v>5</v>
      </c>
      <c r="X38" t="s">
        <v>86</v>
      </c>
      <c r="Z38" s="6"/>
      <c r="AA38" s="10" t="e">
        <f>AVERAGE(Table2[[#This Row],[11-Mar]:[Column33]])</f>
        <v>#DIV/0!</v>
      </c>
      <c r="AC38" t="str" cm="1">
        <f t="array" ref="AC38">IFERROR(INDEX(CHOOSE(MATCH($X38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38" t="str" cm="1">
        <f t="array" ref="AD38">IFERROR(INDEX(CHOOSE(MATCH($X38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38" t="str" cm="1">
        <f t="array" ref="AE38">IFERROR(INDEX(CHOOSE(MATCH($X38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38" t="str" cm="1">
        <f t="array" ref="AF38">IFERROR(INDEX(CHOOSE(MATCH($X38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38" t="str" cm="1">
        <f t="array" ref="AG38">IFERROR(INDEX(CHOOSE(MATCH($X38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38" t="str" cm="1">
        <f t="array" ref="AH38">IFERROR(INDEX(CHOOSE(MATCH($X38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38" t="str" cm="1">
        <f t="array" ref="AI38">IFERROR(INDEX(CHOOSE(MATCH($X38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38" t="str" cm="1">
        <f t="array" ref="AJ38">IFERROR(INDEX(CHOOSE(MATCH($X38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38" t="str" cm="1">
        <f t="array" ref="AK38">IFERROR(INDEX(CHOOSE(MATCH($X38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38" t="str" cm="1">
        <f t="array" ref="AL38">IFERROR(INDEX(CHOOSE(MATCH($X38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38" t="str" cm="1">
        <f t="array" ref="AM38">IFERROR(INDEX(CHOOSE(MATCH($X38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38" t="str" cm="1">
        <f t="array" ref="AN38">IFERROR(INDEX(CHOOSE(MATCH($X38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38" t="str" cm="1">
        <f t="array" ref="AO38">IFERROR(INDEX(CHOOSE(MATCH($X38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38" t="str" cm="1">
        <f t="array" ref="AP38">IFERROR(INDEX(CHOOSE(MATCH($X38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38" t="str" cm="1">
        <f t="array" ref="AQ38">IFERROR(INDEX(CHOOSE(MATCH($X38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38" t="str" cm="1">
        <f t="array" ref="AR38">IFERROR(INDEX(CHOOSE(MATCH($X38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38" t="str" cm="1">
        <f t="array" ref="AS38">IFERROR(INDEX(CHOOSE(MATCH($X38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38" t="str" cm="1">
        <f t="array" ref="AT38">IFERROR(INDEX(CHOOSE(MATCH($X38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38" t="str" cm="1">
        <f t="array" ref="AU38">IFERROR(INDEX(CHOOSE(MATCH($X38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38" t="str" cm="1">
        <f t="array" ref="AV38">IFERROR(INDEX(CHOOSE(MATCH($X38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38" t="str" cm="1">
        <f t="array" ref="AW38">IFERROR(INDEX(CHOOSE(MATCH($X38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38" t="str" cm="1">
        <f t="array" ref="AX38">IFERROR(INDEX(CHOOSE(MATCH($X38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38" t="str" cm="1">
        <f t="array" ref="AY38">IFERROR(INDEX(CHOOSE(MATCH($X38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38" t="str" cm="1">
        <f t="array" ref="AZ38">IFERROR(INDEX(CHOOSE(MATCH($X38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38" t="str" cm="1">
        <f t="array" ref="BA38">IFERROR(INDEX(CHOOSE(MATCH($X38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38" t="str" cm="1">
        <f t="array" ref="BB38">IFERROR(INDEX(CHOOSE(MATCH($X38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38" t="str" cm="1">
        <f t="array" ref="BC38">IFERROR(INDEX(CHOOSE(MATCH($X38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38" t="str" cm="1">
        <f t="array" ref="BD38">IFERROR(INDEX(CHOOSE(MATCH($X38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38" t="str" cm="1">
        <f t="array" ref="BE38">IFERROR(INDEX(CHOOSE(MATCH($X38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38" t="str" cm="1">
        <f t="array" ref="BF38">IFERROR(INDEX(CHOOSE(MATCH($X38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38" t="str" cm="1">
        <f t="array" ref="BG38">IFERROR(INDEX(CHOOSE(MATCH($X38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38" s="4" t="e">
        <f>AVERAGE(Table2[[#This Row],[11-Mar]:[Column33]])</f>
        <v>#DIV/0!</v>
      </c>
      <c r="BJ38">
        <f>COUNT(Table2[[#This Row],[11-Mar]:[Column33]])</f>
        <v>0</v>
      </c>
    </row>
    <row r="39" spans="1:62" x14ac:dyDescent="0.45">
      <c r="A39" s="34">
        <v>46127</v>
      </c>
      <c r="B39" t="s">
        <v>57</v>
      </c>
      <c r="C39">
        <v>0</v>
      </c>
      <c r="E39" t="s">
        <v>66</v>
      </c>
      <c r="F39">
        <v>0</v>
      </c>
      <c r="H39" t="s">
        <v>42</v>
      </c>
      <c r="I39">
        <v>3</v>
      </c>
      <c r="K39" t="s">
        <v>148</v>
      </c>
      <c r="L39">
        <v>2</v>
      </c>
      <c r="N39" t="s">
        <v>34</v>
      </c>
      <c r="O39">
        <v>0</v>
      </c>
      <c r="T39">
        <f t="shared" si="0"/>
        <v>5</v>
      </c>
      <c r="X39" t="s">
        <v>71</v>
      </c>
      <c r="Y39">
        <v>1</v>
      </c>
      <c r="Z39" s="6">
        <v>1</v>
      </c>
      <c r="AA39" s="10">
        <f>AVERAGE(Table2[[#This Row],[11-Mar]:[Column33]])</f>
        <v>-2.75</v>
      </c>
      <c r="AB39">
        <v>-2</v>
      </c>
      <c r="AC39" t="str" cm="1">
        <f t="array" ref="AC39">IFERROR(INDEX(CHOOSE(MATCH($X39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39">
        <v>-4</v>
      </c>
      <c r="AE39">
        <v>-2</v>
      </c>
      <c r="AF39">
        <v>-3</v>
      </c>
      <c r="AG39" t="str" cm="1">
        <f t="array" ref="AG39">IFERROR(INDEX(CHOOSE(MATCH($X39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39" t="str" cm="1">
        <f t="array" ref="AH39">IFERROR(INDEX(CHOOSE(MATCH($X39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39" t="str" cm="1">
        <f t="array" ref="AI39">IFERROR(INDEX(CHOOSE(MATCH($X39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39" t="str" cm="1">
        <f t="array" ref="AJ39">IFERROR(INDEX(CHOOSE(MATCH($X39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39" t="str" cm="1">
        <f t="array" ref="AK39">IFERROR(INDEX(CHOOSE(MATCH($X39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39" t="str" cm="1">
        <f t="array" ref="AL39">IFERROR(INDEX(CHOOSE(MATCH($X39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39" t="str" cm="1">
        <f t="array" ref="AM39">IFERROR(INDEX(CHOOSE(MATCH($X39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39" t="str" cm="1">
        <f t="array" ref="AN39">IFERROR(INDEX(CHOOSE(MATCH($X39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39" t="str" cm="1">
        <f t="array" ref="AO39">IFERROR(INDEX(CHOOSE(MATCH($X39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39" t="str" cm="1">
        <f t="array" ref="AP39">IFERROR(INDEX(CHOOSE(MATCH($X39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39" t="str" cm="1">
        <f t="array" ref="AQ39">IFERROR(INDEX(CHOOSE(MATCH($X39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39" t="str" cm="1">
        <f t="array" ref="AR39">IFERROR(INDEX(CHOOSE(MATCH($X39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39" t="str" cm="1">
        <f t="array" ref="AS39">IFERROR(INDEX(CHOOSE(MATCH($X39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39" t="str" cm="1">
        <f t="array" ref="AT39">IFERROR(INDEX(CHOOSE(MATCH($X39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39" t="str" cm="1">
        <f t="array" ref="AU39">IFERROR(INDEX(CHOOSE(MATCH($X39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39" t="str" cm="1">
        <f t="array" ref="AV39">IFERROR(INDEX(CHOOSE(MATCH($X39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39" t="str" cm="1">
        <f t="array" ref="AW39">IFERROR(INDEX(CHOOSE(MATCH($X39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39" t="str" cm="1">
        <f t="array" ref="AX39">IFERROR(INDEX(CHOOSE(MATCH($X39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39" t="str" cm="1">
        <f t="array" ref="AY39">IFERROR(INDEX(CHOOSE(MATCH($X39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39" t="str" cm="1">
        <f t="array" ref="AZ39">IFERROR(INDEX(CHOOSE(MATCH($X39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39" t="str" cm="1">
        <f t="array" ref="BA39">IFERROR(INDEX(CHOOSE(MATCH($X39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39" t="str" cm="1">
        <f t="array" ref="BB39">IFERROR(INDEX(CHOOSE(MATCH($X39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39" t="str" cm="1">
        <f t="array" ref="BC39">IFERROR(INDEX(CHOOSE(MATCH($X39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39" t="str" cm="1">
        <f t="array" ref="BD39">IFERROR(INDEX(CHOOSE(MATCH($X39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39" t="str" cm="1">
        <f t="array" ref="BE39">IFERROR(INDEX(CHOOSE(MATCH($X39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39" t="str" cm="1">
        <f t="array" ref="BF39">IFERROR(INDEX(CHOOSE(MATCH($X39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39" t="str" cm="1">
        <f t="array" ref="BG39">IFERROR(INDEX(CHOOSE(MATCH($X39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39" s="4">
        <f>AVERAGE(Table2[[#This Row],[11-Mar]:[Column33]])</f>
        <v>-2.75</v>
      </c>
      <c r="BJ39">
        <f>COUNT(Table2[[#This Row],[11-Mar]:[Column33]])</f>
        <v>4</v>
      </c>
    </row>
    <row r="40" spans="1:62" x14ac:dyDescent="0.45">
      <c r="A40" s="34">
        <v>46127</v>
      </c>
      <c r="B40" t="s">
        <v>91</v>
      </c>
      <c r="C40">
        <v>2</v>
      </c>
      <c r="E40" t="s">
        <v>39</v>
      </c>
      <c r="F40">
        <v>3</v>
      </c>
      <c r="H40" t="s">
        <v>147</v>
      </c>
      <c r="I40">
        <v>0</v>
      </c>
      <c r="J40" s="37">
        <v>1</v>
      </c>
      <c r="K40" t="s">
        <v>144</v>
      </c>
      <c r="L40">
        <v>8</v>
      </c>
      <c r="N40" t="s">
        <v>33</v>
      </c>
      <c r="O40">
        <v>1</v>
      </c>
      <c r="T40">
        <f t="shared" si="0"/>
        <v>14</v>
      </c>
      <c r="V40" s="37">
        <v>1</v>
      </c>
      <c r="X40" t="s">
        <v>57</v>
      </c>
      <c r="Z40" s="6"/>
      <c r="AA40" s="10">
        <f>AVERAGE(Table2[[#This Row],[11-Mar]:[Column33]])</f>
        <v>0</v>
      </c>
      <c r="AC40" t="str" cm="1">
        <f t="array" ref="AC40">IFERROR(INDEX(CHOOSE(MATCH($X40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40" t="str" cm="1">
        <f t="array" ref="AD40">IFERROR(INDEX(CHOOSE(MATCH($X40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40" t="str" cm="1">
        <f t="array" ref="AE40">IFERROR(INDEX(CHOOSE(MATCH($X40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40" t="str" cm="1">
        <f t="array" ref="AF40">IFERROR(INDEX(CHOOSE(MATCH($X40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40">
        <v>0</v>
      </c>
      <c r="AH40" t="str" cm="1">
        <f t="array" ref="AH40">IFERROR(INDEX(CHOOSE(MATCH($X40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40" t="str" cm="1">
        <f t="array" ref="AI40">IFERROR(INDEX(CHOOSE(MATCH($X40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40" t="str" cm="1">
        <f t="array" ref="AJ40">IFERROR(INDEX(CHOOSE(MATCH($X40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40" t="str" cm="1">
        <f t="array" ref="AK40">IFERROR(INDEX(CHOOSE(MATCH($X40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40" t="str" cm="1">
        <f t="array" ref="AL40">IFERROR(INDEX(CHOOSE(MATCH($X40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40" t="str" cm="1">
        <f t="array" ref="AM40">IFERROR(INDEX(CHOOSE(MATCH($X40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40" t="str" cm="1">
        <f t="array" ref="AN40">IFERROR(INDEX(CHOOSE(MATCH($X40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40" t="str" cm="1">
        <f t="array" ref="AO40">IFERROR(INDEX(CHOOSE(MATCH($X40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40" t="str" cm="1">
        <f t="array" ref="AP40">IFERROR(INDEX(CHOOSE(MATCH($X40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40" t="str" cm="1">
        <f t="array" ref="AQ40">IFERROR(INDEX(CHOOSE(MATCH($X40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40" t="str" cm="1">
        <f t="array" ref="AR40">IFERROR(INDEX(CHOOSE(MATCH($X40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40" t="str" cm="1">
        <f t="array" ref="AS40">IFERROR(INDEX(CHOOSE(MATCH($X40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40" t="str" cm="1">
        <f t="array" ref="AT40">IFERROR(INDEX(CHOOSE(MATCH($X40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40" t="str" cm="1">
        <f t="array" ref="AU40">IFERROR(INDEX(CHOOSE(MATCH($X40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40" t="str" cm="1">
        <f t="array" ref="AV40">IFERROR(INDEX(CHOOSE(MATCH($X40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40" t="str" cm="1">
        <f t="array" ref="AW40">IFERROR(INDEX(CHOOSE(MATCH($X40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40" t="str" cm="1">
        <f t="array" ref="AX40">IFERROR(INDEX(CHOOSE(MATCH($X40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40" t="str" cm="1">
        <f t="array" ref="AY40">IFERROR(INDEX(CHOOSE(MATCH($X40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40" t="str" cm="1">
        <f t="array" ref="AZ40">IFERROR(INDEX(CHOOSE(MATCH($X40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40" t="str" cm="1">
        <f t="array" ref="BA40">IFERROR(INDEX(CHOOSE(MATCH($X40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40" t="str" cm="1">
        <f t="array" ref="BB40">IFERROR(INDEX(CHOOSE(MATCH($X40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40" t="str" cm="1">
        <f t="array" ref="BC40">IFERROR(INDEX(CHOOSE(MATCH($X40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40" t="str" cm="1">
        <f t="array" ref="BD40">IFERROR(INDEX(CHOOSE(MATCH($X40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40" t="str" cm="1">
        <f t="array" ref="BE40">IFERROR(INDEX(CHOOSE(MATCH($X40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40" t="str" cm="1">
        <f t="array" ref="BF40">IFERROR(INDEX(CHOOSE(MATCH($X40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40" t="str" cm="1">
        <f t="array" ref="BG40">IFERROR(INDEX(CHOOSE(MATCH($X40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40" s="4">
        <f>AVERAGE(Table2[[#This Row],[11-Mar]:[Column33]])</f>
        <v>0</v>
      </c>
      <c r="BJ40">
        <f>COUNT(Table2[[#This Row],[11-Mar]:[Column33]])</f>
        <v>1</v>
      </c>
    </row>
    <row r="41" spans="1:62" x14ac:dyDescent="0.45">
      <c r="A41" s="34">
        <v>46127</v>
      </c>
      <c r="B41" t="s">
        <v>67</v>
      </c>
      <c r="C41">
        <v>-1</v>
      </c>
      <c r="E41" t="s">
        <v>73</v>
      </c>
      <c r="F41">
        <v>8</v>
      </c>
      <c r="H41" t="s">
        <v>28</v>
      </c>
      <c r="I41">
        <v>3</v>
      </c>
      <c r="K41" t="s">
        <v>69</v>
      </c>
      <c r="L41">
        <v>2</v>
      </c>
      <c r="N41" t="s">
        <v>36</v>
      </c>
      <c r="O41">
        <v>2</v>
      </c>
      <c r="T41">
        <f t="shared" si="0"/>
        <v>14</v>
      </c>
      <c r="X41" t="s">
        <v>28</v>
      </c>
      <c r="Z41" s="6">
        <v>1</v>
      </c>
      <c r="AA41" s="10">
        <f>AVERAGE(Table2[[#This Row],[11-Mar]:[Column33]])</f>
        <v>1.6666666666666667</v>
      </c>
      <c r="AB41">
        <v>1</v>
      </c>
      <c r="AC41">
        <v>-1</v>
      </c>
      <c r="AD41">
        <v>0</v>
      </c>
      <c r="AE41">
        <v>3</v>
      </c>
      <c r="AF41">
        <v>3</v>
      </c>
      <c r="AG41">
        <v>3</v>
      </c>
      <c r="AH41">
        <v>2</v>
      </c>
      <c r="AI41">
        <v>4</v>
      </c>
      <c r="AJ41">
        <v>0</v>
      </c>
      <c r="AK41" t="str" cm="1">
        <f t="array" ref="AK41">IFERROR(INDEX(CHOOSE(MATCH($X41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41" t="str" cm="1">
        <f t="array" ref="AL41">IFERROR(INDEX(CHOOSE(MATCH($X41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41" t="str" cm="1">
        <f t="array" ref="AM41">IFERROR(INDEX(CHOOSE(MATCH($X41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41" t="str" cm="1">
        <f t="array" ref="AN41">IFERROR(INDEX(CHOOSE(MATCH($X41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41" t="str" cm="1">
        <f t="array" ref="AO41">IFERROR(INDEX(CHOOSE(MATCH($X41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41" t="str" cm="1">
        <f t="array" ref="AP41">IFERROR(INDEX(CHOOSE(MATCH($X41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41" t="str" cm="1">
        <f t="array" ref="AQ41">IFERROR(INDEX(CHOOSE(MATCH($X41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41" t="str" cm="1">
        <f t="array" ref="AR41">IFERROR(INDEX(CHOOSE(MATCH($X41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41" t="str" cm="1">
        <f t="array" ref="AS41">IFERROR(INDEX(CHOOSE(MATCH($X41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41" t="str" cm="1">
        <f t="array" ref="AT41">IFERROR(INDEX(CHOOSE(MATCH($X41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41" t="str" cm="1">
        <f t="array" ref="AU41">IFERROR(INDEX(CHOOSE(MATCH($X41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41" t="str" cm="1">
        <f t="array" ref="AV41">IFERROR(INDEX(CHOOSE(MATCH($X41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41" t="str" cm="1">
        <f t="array" ref="AW41">IFERROR(INDEX(CHOOSE(MATCH($X41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41" t="str" cm="1">
        <f t="array" ref="AX41">IFERROR(INDEX(CHOOSE(MATCH($X41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41" t="str" cm="1">
        <f t="array" ref="AY41">IFERROR(INDEX(CHOOSE(MATCH($X41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41" t="str" cm="1">
        <f t="array" ref="AZ41">IFERROR(INDEX(CHOOSE(MATCH($X41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41" t="str" cm="1">
        <f t="array" ref="BA41">IFERROR(INDEX(CHOOSE(MATCH($X41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41" t="str" cm="1">
        <f t="array" ref="BB41">IFERROR(INDEX(CHOOSE(MATCH($X41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41" t="str" cm="1">
        <f t="array" ref="BC41">IFERROR(INDEX(CHOOSE(MATCH($X41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41" t="str" cm="1">
        <f t="array" ref="BD41">IFERROR(INDEX(CHOOSE(MATCH($X41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41" t="str" cm="1">
        <f t="array" ref="BE41">IFERROR(INDEX(CHOOSE(MATCH($X41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41" t="str" cm="1">
        <f t="array" ref="BF41">IFERROR(INDEX(CHOOSE(MATCH($X41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41" t="str" cm="1">
        <f t="array" ref="BG41">IFERROR(INDEX(CHOOSE(MATCH($X41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41" s="4">
        <f>AVERAGE(Table2[[#This Row],[11-Mar]:[Column33]])</f>
        <v>1.6666666666666667</v>
      </c>
      <c r="BJ41">
        <f>COUNT(Table2[[#This Row],[11-Mar]:[Column33]])</f>
        <v>9</v>
      </c>
    </row>
    <row r="42" spans="1:62" x14ac:dyDescent="0.45">
      <c r="A42" s="38">
        <v>46127</v>
      </c>
      <c r="B42" s="39" t="s">
        <v>30</v>
      </c>
      <c r="C42" s="39">
        <v>-3</v>
      </c>
      <c r="D42" s="37">
        <v>1</v>
      </c>
      <c r="E42" s="39" t="s">
        <v>104</v>
      </c>
      <c r="F42" s="39">
        <v>2</v>
      </c>
      <c r="G42" s="39"/>
      <c r="H42" s="39" t="s">
        <v>56</v>
      </c>
      <c r="I42" s="39">
        <v>3</v>
      </c>
      <c r="J42" s="39"/>
      <c r="K42" s="39" t="s">
        <v>98</v>
      </c>
      <c r="L42" s="39">
        <v>-1</v>
      </c>
      <c r="M42" s="39"/>
      <c r="N42" s="39" t="s">
        <v>153</v>
      </c>
      <c r="O42" s="39">
        <v>2</v>
      </c>
      <c r="P42" s="39"/>
      <c r="Q42" s="39"/>
      <c r="R42" s="39"/>
      <c r="S42" s="39"/>
      <c r="T42" s="39">
        <f t="shared" si="0"/>
        <v>3</v>
      </c>
      <c r="U42" s="39" t="s">
        <v>146</v>
      </c>
      <c r="V42" s="37">
        <v>1</v>
      </c>
      <c r="X42" t="s">
        <v>33</v>
      </c>
      <c r="Y42">
        <v>1</v>
      </c>
      <c r="Z42" s="6">
        <v>1</v>
      </c>
      <c r="AA42" s="10">
        <f>AVERAGE(Table2[[#This Row],[11-Mar]:[Column33]])</f>
        <v>0.8571428571428571</v>
      </c>
      <c r="AB42">
        <v>0</v>
      </c>
      <c r="AC42" t="str" cm="1">
        <f t="array" ref="AC42">IFERROR(INDEX(CHOOSE(MATCH($X42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42">
        <v>1</v>
      </c>
      <c r="AE42">
        <v>0</v>
      </c>
      <c r="AF42">
        <v>1</v>
      </c>
      <c r="AG42">
        <v>1</v>
      </c>
      <c r="AH42" t="str" cm="1">
        <f t="array" ref="AH42">IFERROR(INDEX(CHOOSE(MATCH($X42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42">
        <v>0</v>
      </c>
      <c r="AJ42">
        <v>3</v>
      </c>
      <c r="AK42" t="str" cm="1">
        <f t="array" ref="AK42">IFERROR(INDEX(CHOOSE(MATCH($X42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42" t="str" cm="1">
        <f t="array" ref="AL42">IFERROR(INDEX(CHOOSE(MATCH($X42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42" t="str" cm="1">
        <f t="array" ref="AM42">IFERROR(INDEX(CHOOSE(MATCH($X42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42" t="str" cm="1">
        <f t="array" ref="AN42">IFERROR(INDEX(CHOOSE(MATCH($X42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42" t="str" cm="1">
        <f t="array" ref="AO42">IFERROR(INDEX(CHOOSE(MATCH($X42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42" t="str" cm="1">
        <f t="array" ref="AP42">IFERROR(INDEX(CHOOSE(MATCH($X42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42" t="str" cm="1">
        <f t="array" ref="AQ42">IFERROR(INDEX(CHOOSE(MATCH($X42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42" t="str" cm="1">
        <f t="array" ref="AR42">IFERROR(INDEX(CHOOSE(MATCH($X42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42" t="str" cm="1">
        <f t="array" ref="AS42">IFERROR(INDEX(CHOOSE(MATCH($X42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42" t="str" cm="1">
        <f t="array" ref="AT42">IFERROR(INDEX(CHOOSE(MATCH($X42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42" t="str" cm="1">
        <f t="array" ref="AU42">IFERROR(INDEX(CHOOSE(MATCH($X42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42" t="str" cm="1">
        <f t="array" ref="AV42">IFERROR(INDEX(CHOOSE(MATCH($X42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42" t="str" cm="1">
        <f t="array" ref="AW42">IFERROR(INDEX(CHOOSE(MATCH($X42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42" t="str" cm="1">
        <f t="array" ref="AX42">IFERROR(INDEX(CHOOSE(MATCH($X42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42" t="str" cm="1">
        <f t="array" ref="AY42">IFERROR(INDEX(CHOOSE(MATCH($X42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42" t="str" cm="1">
        <f t="array" ref="AZ42">IFERROR(INDEX(CHOOSE(MATCH($X42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42" t="str" cm="1">
        <f t="array" ref="BA42">IFERROR(INDEX(CHOOSE(MATCH($X42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42" t="str" cm="1">
        <f t="array" ref="BB42">IFERROR(INDEX(CHOOSE(MATCH($X42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42" t="str" cm="1">
        <f t="array" ref="BC42">IFERROR(INDEX(CHOOSE(MATCH($X42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42" t="str" cm="1">
        <f t="array" ref="BD42">IFERROR(INDEX(CHOOSE(MATCH($X42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42" t="str" cm="1">
        <f t="array" ref="BE42">IFERROR(INDEX(CHOOSE(MATCH($X42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42" t="str" cm="1">
        <f t="array" ref="BF42">IFERROR(INDEX(CHOOSE(MATCH($X42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42" t="str" cm="1">
        <f t="array" ref="BG42">IFERROR(INDEX(CHOOSE(MATCH($X42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42" s="4">
        <f>AVERAGE(Table2[[#This Row],[11-Mar]:[Column33]])</f>
        <v>0.8571428571428571</v>
      </c>
      <c r="BJ42">
        <f>COUNT(Table2[[#This Row],[11-Mar]:[Column33]])</f>
        <v>7</v>
      </c>
    </row>
    <row r="43" spans="1:62" x14ac:dyDescent="0.45">
      <c r="A43" s="34">
        <v>46134</v>
      </c>
      <c r="B43" t="s">
        <v>158</v>
      </c>
      <c r="C43">
        <v>0</v>
      </c>
      <c r="E43" t="s">
        <v>159</v>
      </c>
      <c r="F43">
        <v>4</v>
      </c>
      <c r="H43" t="s">
        <v>34</v>
      </c>
      <c r="I43">
        <v>4</v>
      </c>
      <c r="T43">
        <f t="shared" si="0"/>
        <v>8</v>
      </c>
      <c r="X43" t="s">
        <v>88</v>
      </c>
      <c r="Z43" s="6"/>
      <c r="AA43" s="10">
        <f>AVERAGE(Table2[[#This Row],[11-Mar]:[Column33]])</f>
        <v>1.5</v>
      </c>
      <c r="AC43" t="str" cm="1">
        <f t="array" ref="AC43">IFERROR(INDEX(CHOOSE(MATCH($X43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43" t="str" cm="1">
        <f t="array" ref="AD43">IFERROR(INDEX(CHOOSE(MATCH($X43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43" t="str" cm="1">
        <f t="array" ref="AE43">IFERROR(INDEX(CHOOSE(MATCH($X43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43" t="str" cm="1">
        <f t="array" ref="AF43">IFERROR(INDEX(CHOOSE(MATCH($X43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43" t="str" cm="1">
        <f t="array" ref="AG43">IFERROR(INDEX(CHOOSE(MATCH($X43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43">
        <v>6</v>
      </c>
      <c r="AI43">
        <v>-3</v>
      </c>
      <c r="AJ43" t="str" cm="1">
        <f t="array" ref="AJ43">IFERROR(INDEX(CHOOSE(MATCH($X43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43" t="str" cm="1">
        <f t="array" ref="AK43">IFERROR(INDEX(CHOOSE(MATCH($X43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43" t="str" cm="1">
        <f t="array" ref="AL43">IFERROR(INDEX(CHOOSE(MATCH($X43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43" t="str" cm="1">
        <f t="array" ref="AM43">IFERROR(INDEX(CHOOSE(MATCH($X43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43" t="str" cm="1">
        <f t="array" ref="AN43">IFERROR(INDEX(CHOOSE(MATCH($X43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43" t="str" cm="1">
        <f t="array" ref="AO43">IFERROR(INDEX(CHOOSE(MATCH($X43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43" t="str" cm="1">
        <f t="array" ref="AP43">IFERROR(INDEX(CHOOSE(MATCH($X43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43" t="str" cm="1">
        <f t="array" ref="AQ43">IFERROR(INDEX(CHOOSE(MATCH($X43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43" t="str" cm="1">
        <f t="array" ref="AR43">IFERROR(INDEX(CHOOSE(MATCH($X43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43" t="str" cm="1">
        <f t="array" ref="AS43">IFERROR(INDEX(CHOOSE(MATCH($X43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43" t="str" cm="1">
        <f t="array" ref="AT43">IFERROR(INDEX(CHOOSE(MATCH($X43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43" t="str" cm="1">
        <f t="array" ref="AU43">IFERROR(INDEX(CHOOSE(MATCH($X43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43" t="str" cm="1">
        <f t="array" ref="AV43">IFERROR(INDEX(CHOOSE(MATCH($X43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43" t="str" cm="1">
        <f t="array" ref="AW43">IFERROR(INDEX(CHOOSE(MATCH($X43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43" t="str" cm="1">
        <f t="array" ref="AX43">IFERROR(INDEX(CHOOSE(MATCH($X43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43" t="str" cm="1">
        <f t="array" ref="AY43">IFERROR(INDEX(CHOOSE(MATCH($X43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43" t="str" cm="1">
        <f t="array" ref="AZ43">IFERROR(INDEX(CHOOSE(MATCH($X43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43" t="str" cm="1">
        <f t="array" ref="BA43">IFERROR(INDEX(CHOOSE(MATCH($X43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43" t="str" cm="1">
        <f t="array" ref="BB43">IFERROR(INDEX(CHOOSE(MATCH($X43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43" t="str" cm="1">
        <f t="array" ref="BC43">IFERROR(INDEX(CHOOSE(MATCH($X43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43" t="str" cm="1">
        <f t="array" ref="BD43">IFERROR(INDEX(CHOOSE(MATCH($X43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43" t="str" cm="1">
        <f t="array" ref="BE43">IFERROR(INDEX(CHOOSE(MATCH($X43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43" t="str" cm="1">
        <f t="array" ref="BF43">IFERROR(INDEX(CHOOSE(MATCH($X43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43" t="str" cm="1">
        <f t="array" ref="BG43">IFERROR(INDEX(CHOOSE(MATCH($X43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43" s="4">
        <f>AVERAGE(Table2[[#This Row],[11-Mar]:[Column33]])</f>
        <v>1.5</v>
      </c>
      <c r="BJ43">
        <f>COUNT(Table2[[#This Row],[11-Mar]:[Column33]])</f>
        <v>2</v>
      </c>
    </row>
    <row r="44" spans="1:62" x14ac:dyDescent="0.45">
      <c r="A44" s="34">
        <v>46134</v>
      </c>
      <c r="B44" t="s">
        <v>72</v>
      </c>
      <c r="C44" t="s">
        <v>161</v>
      </c>
      <c r="E44" t="s">
        <v>76</v>
      </c>
      <c r="F44">
        <v>0</v>
      </c>
      <c r="H44" t="s">
        <v>48</v>
      </c>
      <c r="I44">
        <v>2</v>
      </c>
      <c r="T44">
        <f t="shared" si="0"/>
        <v>2</v>
      </c>
      <c r="X44" t="s">
        <v>27</v>
      </c>
      <c r="Y44">
        <v>1</v>
      </c>
      <c r="Z44" s="6"/>
      <c r="AA44" s="10">
        <f>AVERAGE(Table2[[#This Row],[11-Mar]:[Column33]])</f>
        <v>5</v>
      </c>
      <c r="AC44" t="str" cm="1">
        <f t="array" ref="AC44">IFERROR(INDEX(CHOOSE(MATCH($X44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44">
        <v>5</v>
      </c>
      <c r="AE44" t="str" cm="1">
        <f t="array" ref="AE44">IFERROR(INDEX(CHOOSE(MATCH($X44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44" t="str" cm="1">
        <f t="array" ref="AF44">IFERROR(INDEX(CHOOSE(MATCH($X44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44" t="str" cm="1">
        <f t="array" ref="AG44">IFERROR(INDEX(CHOOSE(MATCH($X44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44" t="str" cm="1">
        <f t="array" ref="AH44">IFERROR(INDEX(CHOOSE(MATCH($X44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44" t="str" cm="1">
        <f t="array" ref="AI44">IFERROR(INDEX(CHOOSE(MATCH($X44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44" t="str" cm="1">
        <f t="array" ref="AJ44">IFERROR(INDEX(CHOOSE(MATCH($X44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44" t="str" cm="1">
        <f t="array" ref="AK44">IFERROR(INDEX(CHOOSE(MATCH($X44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44" t="str" cm="1">
        <f t="array" ref="AL44">IFERROR(INDEX(CHOOSE(MATCH($X44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44" t="str" cm="1">
        <f t="array" ref="AM44">IFERROR(INDEX(CHOOSE(MATCH($X44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44" t="str" cm="1">
        <f t="array" ref="AN44">IFERROR(INDEX(CHOOSE(MATCH($X44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44" t="str" cm="1">
        <f t="array" ref="AO44">IFERROR(INDEX(CHOOSE(MATCH($X44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44" t="str" cm="1">
        <f t="array" ref="AP44">IFERROR(INDEX(CHOOSE(MATCH($X44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44" t="str" cm="1">
        <f t="array" ref="AQ44">IFERROR(INDEX(CHOOSE(MATCH($X44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44" t="str" cm="1">
        <f t="array" ref="AR44">IFERROR(INDEX(CHOOSE(MATCH($X44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44" t="str" cm="1">
        <f t="array" ref="AS44">IFERROR(INDEX(CHOOSE(MATCH($X44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44" t="str" cm="1">
        <f t="array" ref="AT44">IFERROR(INDEX(CHOOSE(MATCH($X44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44" t="str" cm="1">
        <f t="array" ref="AU44">IFERROR(INDEX(CHOOSE(MATCH($X44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44" t="str" cm="1">
        <f t="array" ref="AV44">IFERROR(INDEX(CHOOSE(MATCH($X44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44" t="str" cm="1">
        <f t="array" ref="AW44">IFERROR(INDEX(CHOOSE(MATCH($X44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44" t="str" cm="1">
        <f t="array" ref="AX44">IFERROR(INDEX(CHOOSE(MATCH($X44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44" t="str" cm="1">
        <f t="array" ref="AY44">IFERROR(INDEX(CHOOSE(MATCH($X44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44" t="str" cm="1">
        <f t="array" ref="AZ44">IFERROR(INDEX(CHOOSE(MATCH($X44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44" t="str" cm="1">
        <f t="array" ref="BA44">IFERROR(INDEX(CHOOSE(MATCH($X44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44" t="str" cm="1">
        <f t="array" ref="BB44">IFERROR(INDEX(CHOOSE(MATCH($X44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44" t="str" cm="1">
        <f t="array" ref="BC44">IFERROR(INDEX(CHOOSE(MATCH($X44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44" t="str" cm="1">
        <f t="array" ref="BD44">IFERROR(INDEX(CHOOSE(MATCH($X44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44" t="str" cm="1">
        <f t="array" ref="BE44">IFERROR(INDEX(CHOOSE(MATCH($X44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44" t="str" cm="1">
        <f t="array" ref="BF44">IFERROR(INDEX(CHOOSE(MATCH($X44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44" t="str" cm="1">
        <f t="array" ref="BG44">IFERROR(INDEX(CHOOSE(MATCH($X44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44" s="4">
        <f>AVERAGE(Table2[[#This Row],[11-Mar]:[Column33]])</f>
        <v>5</v>
      </c>
      <c r="BJ44">
        <f>COUNT(Table2[[#This Row],[11-Mar]:[Column33]])</f>
        <v>1</v>
      </c>
    </row>
    <row r="45" spans="1:62" x14ac:dyDescent="0.45">
      <c r="A45" s="34">
        <v>46134</v>
      </c>
      <c r="B45" t="s">
        <v>69</v>
      </c>
      <c r="C45">
        <v>4</v>
      </c>
      <c r="E45" t="s">
        <v>98</v>
      </c>
      <c r="F45">
        <v>4</v>
      </c>
      <c r="H45" t="s">
        <v>29</v>
      </c>
      <c r="I45">
        <v>3</v>
      </c>
      <c r="T45">
        <f t="shared" si="0"/>
        <v>11</v>
      </c>
      <c r="X45" t="s">
        <v>37</v>
      </c>
      <c r="Y45">
        <v>2</v>
      </c>
      <c r="Z45" s="6">
        <v>2</v>
      </c>
      <c r="AA45" s="10">
        <f>AVERAGE(Table2[[#This Row],[11-Mar]:[Column33]])</f>
        <v>0.2</v>
      </c>
      <c r="AB45">
        <v>-1</v>
      </c>
      <c r="AC45">
        <v>0</v>
      </c>
      <c r="AD45">
        <v>3</v>
      </c>
      <c r="AE45">
        <v>-2</v>
      </c>
      <c r="AF45">
        <v>1</v>
      </c>
      <c r="AG45" t="str" cm="1">
        <f t="array" ref="AG45">IFERROR(INDEX(CHOOSE(MATCH($X45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45" t="str" cm="1">
        <f t="array" ref="AH45">IFERROR(INDEX(CHOOSE(MATCH($X45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45" t="str" cm="1">
        <f t="array" ref="AI45">IFERROR(INDEX(CHOOSE(MATCH($X45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45" t="str" cm="1">
        <f t="array" ref="AJ45">IFERROR(INDEX(CHOOSE(MATCH($X45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45" t="str" cm="1">
        <f t="array" ref="AK45">IFERROR(INDEX(CHOOSE(MATCH($X45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45" t="str" cm="1">
        <f t="array" ref="AL45">IFERROR(INDEX(CHOOSE(MATCH($X45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45" t="str" cm="1">
        <f t="array" ref="AM45">IFERROR(INDEX(CHOOSE(MATCH($X45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45" t="str" cm="1">
        <f t="array" ref="AN45">IFERROR(INDEX(CHOOSE(MATCH($X45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45" t="str" cm="1">
        <f t="array" ref="AO45">IFERROR(INDEX(CHOOSE(MATCH($X45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45" t="str" cm="1">
        <f t="array" ref="AP45">IFERROR(INDEX(CHOOSE(MATCH($X45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45" t="str" cm="1">
        <f t="array" ref="AQ45">IFERROR(INDEX(CHOOSE(MATCH($X45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45" t="str" cm="1">
        <f t="array" ref="AR45">IFERROR(INDEX(CHOOSE(MATCH($X45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45" t="str" cm="1">
        <f t="array" ref="AS45">IFERROR(INDEX(CHOOSE(MATCH($X45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45" t="str" cm="1">
        <f t="array" ref="AT45">IFERROR(INDEX(CHOOSE(MATCH($X45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45" t="str" cm="1">
        <f t="array" ref="AU45">IFERROR(INDEX(CHOOSE(MATCH($X45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45" t="str" cm="1">
        <f t="array" ref="AV45">IFERROR(INDEX(CHOOSE(MATCH($X45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45" t="str" cm="1">
        <f t="array" ref="AW45">IFERROR(INDEX(CHOOSE(MATCH($X45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45" t="str" cm="1">
        <f t="array" ref="AX45">IFERROR(INDEX(CHOOSE(MATCH($X45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45" t="str" cm="1">
        <f t="array" ref="AY45">IFERROR(INDEX(CHOOSE(MATCH($X45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45" t="str" cm="1">
        <f t="array" ref="AZ45">IFERROR(INDEX(CHOOSE(MATCH($X45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45" t="str" cm="1">
        <f t="array" ref="BA45">IFERROR(INDEX(CHOOSE(MATCH($X45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45" t="str" cm="1">
        <f t="array" ref="BB45">IFERROR(INDEX(CHOOSE(MATCH($X45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45" t="str" cm="1">
        <f t="array" ref="BC45">IFERROR(INDEX(CHOOSE(MATCH($X45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45" t="str" cm="1">
        <f t="array" ref="BD45">IFERROR(INDEX(CHOOSE(MATCH($X45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45" t="str" cm="1">
        <f t="array" ref="BE45">IFERROR(INDEX(CHOOSE(MATCH($X45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45" t="str" cm="1">
        <f t="array" ref="BF45">IFERROR(INDEX(CHOOSE(MATCH($X45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45" t="str" cm="1">
        <f t="array" ref="BG45">IFERROR(INDEX(CHOOSE(MATCH($X45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45" s="4">
        <f>AVERAGE(Table2[[#This Row],[11-Mar]:[Column33]])</f>
        <v>0.2</v>
      </c>
      <c r="BJ45">
        <f>COUNT(Table2[[#This Row],[11-Mar]:[Column33]])</f>
        <v>5</v>
      </c>
    </row>
    <row r="46" spans="1:62" x14ac:dyDescent="0.45">
      <c r="A46" s="34">
        <v>46134</v>
      </c>
      <c r="B46" t="s">
        <v>62</v>
      </c>
      <c r="C46">
        <v>2</v>
      </c>
      <c r="E46" t="s">
        <v>40</v>
      </c>
      <c r="F46">
        <v>-3</v>
      </c>
      <c r="H46" t="s">
        <v>36</v>
      </c>
      <c r="I46">
        <v>4</v>
      </c>
      <c r="T46">
        <f t="shared" si="0"/>
        <v>3</v>
      </c>
      <c r="X46" t="s">
        <v>89</v>
      </c>
      <c r="Z46" s="6"/>
      <c r="AA46" s="10">
        <f>AVERAGE(Table2[[#This Row],[11-Mar]:[Column33]])</f>
        <v>1</v>
      </c>
      <c r="AC46" t="str" cm="1">
        <f t="array" ref="AC46">IFERROR(INDEX(CHOOSE(MATCH($X46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46" t="str" cm="1">
        <f t="array" ref="AD46">IFERROR(INDEX(CHOOSE(MATCH($X46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46">
        <v>1</v>
      </c>
      <c r="AF46" t="str" cm="1">
        <f t="array" ref="AF46">IFERROR(INDEX(CHOOSE(MATCH($X46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46" t="str" cm="1">
        <f t="array" ref="AG46">IFERROR(INDEX(CHOOSE(MATCH($X46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46" t="str" cm="1">
        <f t="array" ref="AH46">IFERROR(INDEX(CHOOSE(MATCH($X46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46" t="str" cm="1">
        <f t="array" ref="AI46">IFERROR(INDEX(CHOOSE(MATCH($X46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46" t="str" cm="1">
        <f t="array" ref="AJ46">IFERROR(INDEX(CHOOSE(MATCH($X46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46" t="str" cm="1">
        <f t="array" ref="AK46">IFERROR(INDEX(CHOOSE(MATCH($X46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46" t="str" cm="1">
        <f t="array" ref="AL46">IFERROR(INDEX(CHOOSE(MATCH($X46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46" t="str" cm="1">
        <f t="array" ref="AM46">IFERROR(INDEX(CHOOSE(MATCH($X46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46" t="str" cm="1">
        <f t="array" ref="AN46">IFERROR(INDEX(CHOOSE(MATCH($X46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46" t="str" cm="1">
        <f t="array" ref="AO46">IFERROR(INDEX(CHOOSE(MATCH($X46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46" t="str" cm="1">
        <f t="array" ref="AP46">IFERROR(INDEX(CHOOSE(MATCH($X46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46" t="str" cm="1">
        <f t="array" ref="AQ46">IFERROR(INDEX(CHOOSE(MATCH($X46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46" t="str" cm="1">
        <f t="array" ref="AR46">IFERROR(INDEX(CHOOSE(MATCH($X46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46" t="str" cm="1">
        <f t="array" ref="AS46">IFERROR(INDEX(CHOOSE(MATCH($X46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46" t="str" cm="1">
        <f t="array" ref="AT46">IFERROR(INDEX(CHOOSE(MATCH($X46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46" t="str" cm="1">
        <f t="array" ref="AU46">IFERROR(INDEX(CHOOSE(MATCH($X46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46" t="str" cm="1">
        <f t="array" ref="AV46">IFERROR(INDEX(CHOOSE(MATCH($X46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46" t="str" cm="1">
        <f t="array" ref="AW46">IFERROR(INDEX(CHOOSE(MATCH($X46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46" t="str" cm="1">
        <f t="array" ref="AX46">IFERROR(INDEX(CHOOSE(MATCH($X46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46" t="str" cm="1">
        <f t="array" ref="AY46">IFERROR(INDEX(CHOOSE(MATCH($X46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46" t="str" cm="1">
        <f t="array" ref="AZ46">IFERROR(INDEX(CHOOSE(MATCH($X46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46" t="str" cm="1">
        <f t="array" ref="BA46">IFERROR(INDEX(CHOOSE(MATCH($X46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46" t="str" cm="1">
        <f t="array" ref="BB46">IFERROR(INDEX(CHOOSE(MATCH($X46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46" t="str" cm="1">
        <f t="array" ref="BC46">IFERROR(INDEX(CHOOSE(MATCH($X46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46" t="str" cm="1">
        <f t="array" ref="BD46">IFERROR(INDEX(CHOOSE(MATCH($X46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46" t="str" cm="1">
        <f t="array" ref="BE46">IFERROR(INDEX(CHOOSE(MATCH($X46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46" t="str" cm="1">
        <f t="array" ref="BF46">IFERROR(INDEX(CHOOSE(MATCH($X46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46" t="str" cm="1">
        <f t="array" ref="BG46">IFERROR(INDEX(CHOOSE(MATCH($X46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46" s="4">
        <f>AVERAGE(Table2[[#This Row],[11-Mar]:[Column33]])</f>
        <v>1</v>
      </c>
      <c r="BJ46">
        <f>COUNT(Table2[[#This Row],[11-Mar]:[Column33]])</f>
        <v>1</v>
      </c>
    </row>
    <row r="47" spans="1:62" x14ac:dyDescent="0.45">
      <c r="A47" s="38">
        <v>46134</v>
      </c>
      <c r="B47" s="39" t="s">
        <v>104</v>
      </c>
      <c r="C47" s="39">
        <v>2</v>
      </c>
      <c r="D47" s="39"/>
      <c r="E47" s="39" t="s">
        <v>31</v>
      </c>
      <c r="F47" s="39">
        <v>-1</v>
      </c>
      <c r="G47" s="39"/>
      <c r="H47" s="39" t="s">
        <v>64</v>
      </c>
      <c r="I47" s="39">
        <v>1</v>
      </c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>
        <f t="shared" si="0"/>
        <v>2</v>
      </c>
      <c r="U47" s="39" t="s">
        <v>155</v>
      </c>
      <c r="X47" t="s">
        <v>63</v>
      </c>
      <c r="Z47" s="6"/>
      <c r="AA47" s="10" t="e">
        <f>AVERAGE(Table2[[#This Row],[11-Mar]:[Column33]])</f>
        <v>#DIV/0!</v>
      </c>
      <c r="AC47" t="str" cm="1">
        <f t="array" ref="AC47">IFERROR(INDEX(CHOOSE(MATCH($X47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47" t="str" cm="1">
        <f t="array" ref="AD47">IFERROR(INDEX(CHOOSE(MATCH($X47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47" t="str" cm="1">
        <f t="array" ref="AE47">IFERROR(INDEX(CHOOSE(MATCH($X47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47" t="str" cm="1">
        <f t="array" ref="AF47">IFERROR(INDEX(CHOOSE(MATCH($X47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47" t="str" cm="1">
        <f t="array" ref="AG47">IFERROR(INDEX(CHOOSE(MATCH($X47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47" t="str" cm="1">
        <f t="array" ref="AH47">IFERROR(INDEX(CHOOSE(MATCH($X47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47" t="str" cm="1">
        <f t="array" ref="AI47">IFERROR(INDEX(CHOOSE(MATCH($X47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47" t="str" cm="1">
        <f t="array" ref="AJ47">IFERROR(INDEX(CHOOSE(MATCH($X47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47" t="str" cm="1">
        <f t="array" ref="AK47">IFERROR(INDEX(CHOOSE(MATCH($X47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47" t="str" cm="1">
        <f t="array" ref="AL47">IFERROR(INDEX(CHOOSE(MATCH($X47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47" t="str" cm="1">
        <f t="array" ref="AM47">IFERROR(INDEX(CHOOSE(MATCH($X47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47" t="str" cm="1">
        <f t="array" ref="AN47">IFERROR(INDEX(CHOOSE(MATCH($X47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47" t="str" cm="1">
        <f t="array" ref="AO47">IFERROR(INDEX(CHOOSE(MATCH($X47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47" t="str" cm="1">
        <f t="array" ref="AP47">IFERROR(INDEX(CHOOSE(MATCH($X47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47" t="str" cm="1">
        <f t="array" ref="AQ47">IFERROR(INDEX(CHOOSE(MATCH($X47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47" t="str" cm="1">
        <f t="array" ref="AR47">IFERROR(INDEX(CHOOSE(MATCH($X47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47" t="str" cm="1">
        <f t="array" ref="AS47">IFERROR(INDEX(CHOOSE(MATCH($X47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47" t="str" cm="1">
        <f t="array" ref="AT47">IFERROR(INDEX(CHOOSE(MATCH($X47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47" t="str" cm="1">
        <f t="array" ref="AU47">IFERROR(INDEX(CHOOSE(MATCH($X47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47" t="str" cm="1">
        <f t="array" ref="AV47">IFERROR(INDEX(CHOOSE(MATCH($X47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47" t="str" cm="1">
        <f t="array" ref="AW47">IFERROR(INDEX(CHOOSE(MATCH($X47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47" t="str" cm="1">
        <f t="array" ref="AX47">IFERROR(INDEX(CHOOSE(MATCH($X47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47" t="str" cm="1">
        <f t="array" ref="AY47">IFERROR(INDEX(CHOOSE(MATCH($X47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47" t="str" cm="1">
        <f t="array" ref="AZ47">IFERROR(INDEX(CHOOSE(MATCH($X47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47" t="str" cm="1">
        <f t="array" ref="BA47">IFERROR(INDEX(CHOOSE(MATCH($X47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47" t="str" cm="1">
        <f t="array" ref="BB47">IFERROR(INDEX(CHOOSE(MATCH($X47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47" t="str" cm="1">
        <f t="array" ref="BC47">IFERROR(INDEX(CHOOSE(MATCH($X47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47" t="str" cm="1">
        <f t="array" ref="BD47">IFERROR(INDEX(CHOOSE(MATCH($X47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47" t="str" cm="1">
        <f t="array" ref="BE47">IFERROR(INDEX(CHOOSE(MATCH($X47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47" t="str" cm="1">
        <f t="array" ref="BF47">IFERROR(INDEX(CHOOSE(MATCH($X47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47" t="str" cm="1">
        <f t="array" ref="BG47">IFERROR(INDEX(CHOOSE(MATCH($X47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47" s="4" t="e">
        <f>AVERAGE(Table2[[#This Row],[11-Mar]:[Column33]])</f>
        <v>#DIV/0!</v>
      </c>
      <c r="BJ47">
        <f>COUNT(Table2[[#This Row],[11-Mar]:[Column33]])</f>
        <v>0</v>
      </c>
    </row>
    <row r="48" spans="1:62" x14ac:dyDescent="0.45">
      <c r="A48" s="34">
        <v>46134</v>
      </c>
      <c r="B48" t="s">
        <v>160</v>
      </c>
      <c r="C48">
        <v>6</v>
      </c>
      <c r="E48" t="s">
        <v>88</v>
      </c>
      <c r="F48">
        <v>6</v>
      </c>
      <c r="H48" t="s">
        <v>45</v>
      </c>
      <c r="I48">
        <v>0</v>
      </c>
      <c r="T48">
        <f t="shared" si="0"/>
        <v>12</v>
      </c>
      <c r="X48" t="s">
        <v>40</v>
      </c>
      <c r="Y48">
        <v>2</v>
      </c>
      <c r="Z48" s="6"/>
      <c r="AA48" s="10">
        <f>AVERAGE(Table2[[#This Row],[11-Mar]:[Column33]])</f>
        <v>0.75</v>
      </c>
      <c r="AB48">
        <v>1</v>
      </c>
      <c r="AC48">
        <v>1</v>
      </c>
      <c r="AD48">
        <v>0</v>
      </c>
      <c r="AE48">
        <v>0</v>
      </c>
      <c r="AF48">
        <v>1</v>
      </c>
      <c r="AG48">
        <v>5</v>
      </c>
      <c r="AH48">
        <v>-3</v>
      </c>
      <c r="AI48">
        <v>1</v>
      </c>
      <c r="AJ48" t="str" cm="1">
        <f t="array" ref="AJ48">IFERROR(INDEX(CHOOSE(MATCH($X48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48" t="str" cm="1">
        <f t="array" ref="AK48">IFERROR(INDEX(CHOOSE(MATCH($X48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48" t="str" cm="1">
        <f t="array" ref="AL48">IFERROR(INDEX(CHOOSE(MATCH($X48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48" t="str" cm="1">
        <f t="array" ref="AM48">IFERROR(INDEX(CHOOSE(MATCH($X48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48" t="str" cm="1">
        <f t="array" ref="AN48">IFERROR(INDEX(CHOOSE(MATCH($X48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48" t="str" cm="1">
        <f t="array" ref="AO48">IFERROR(INDEX(CHOOSE(MATCH($X48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48" t="str" cm="1">
        <f t="array" ref="AP48">IFERROR(INDEX(CHOOSE(MATCH($X48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48" t="str" cm="1">
        <f t="array" ref="AQ48">IFERROR(INDEX(CHOOSE(MATCH($X48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48" t="str" cm="1">
        <f t="array" ref="AR48">IFERROR(INDEX(CHOOSE(MATCH($X48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48" t="str" cm="1">
        <f t="array" ref="AS48">IFERROR(INDEX(CHOOSE(MATCH($X48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48" t="str" cm="1">
        <f t="array" ref="AT48">IFERROR(INDEX(CHOOSE(MATCH($X48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48" t="str" cm="1">
        <f t="array" ref="AU48">IFERROR(INDEX(CHOOSE(MATCH($X48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48" t="str" cm="1">
        <f t="array" ref="AV48">IFERROR(INDEX(CHOOSE(MATCH($X48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48" t="str" cm="1">
        <f t="array" ref="AW48">IFERROR(INDEX(CHOOSE(MATCH($X48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48" t="str" cm="1">
        <f t="array" ref="AX48">IFERROR(INDEX(CHOOSE(MATCH($X48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48" t="str" cm="1">
        <f t="array" ref="AY48">IFERROR(INDEX(CHOOSE(MATCH($X48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48" t="str" cm="1">
        <f t="array" ref="AZ48">IFERROR(INDEX(CHOOSE(MATCH($X48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48" t="str" cm="1">
        <f t="array" ref="BA48">IFERROR(INDEX(CHOOSE(MATCH($X48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48" t="str" cm="1">
        <f t="array" ref="BB48">IFERROR(INDEX(CHOOSE(MATCH($X48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48" t="str" cm="1">
        <f t="array" ref="BC48">IFERROR(INDEX(CHOOSE(MATCH($X48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48" t="str" cm="1">
        <f t="array" ref="BD48">IFERROR(INDEX(CHOOSE(MATCH($X48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48" t="str" cm="1">
        <f t="array" ref="BE48">IFERROR(INDEX(CHOOSE(MATCH($X48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48" t="str" cm="1">
        <f t="array" ref="BF48">IFERROR(INDEX(CHOOSE(MATCH($X48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48" t="str" cm="1">
        <f t="array" ref="BG48">IFERROR(INDEX(CHOOSE(MATCH($X48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48" s="4">
        <f>AVERAGE(Table2[[#This Row],[11-Mar]:[Column33]])</f>
        <v>0.75</v>
      </c>
      <c r="BJ48">
        <f>COUNT(Table2[[#This Row],[11-Mar]:[Column33]])</f>
        <v>8</v>
      </c>
    </row>
    <row r="49" spans="1:62" x14ac:dyDescent="0.45">
      <c r="A49" s="34">
        <v>46134</v>
      </c>
      <c r="B49" t="s">
        <v>28</v>
      </c>
      <c r="C49">
        <v>2</v>
      </c>
      <c r="E49" t="s">
        <v>58</v>
      </c>
      <c r="F49">
        <v>2</v>
      </c>
      <c r="H49" t="s">
        <v>102</v>
      </c>
      <c r="I49">
        <v>0</v>
      </c>
      <c r="T49">
        <f t="shared" si="0"/>
        <v>4</v>
      </c>
      <c r="X49" t="s">
        <v>68</v>
      </c>
      <c r="Z49" s="6"/>
      <c r="AA49" s="10" t="e">
        <f>AVERAGE(Table2[[#This Row],[11-Mar]:[Column33]])</f>
        <v>#DIV/0!</v>
      </c>
      <c r="AC49" t="str" cm="1">
        <f t="array" ref="AC49">IFERROR(INDEX(CHOOSE(MATCH($X49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49" t="str" cm="1">
        <f t="array" ref="AD49">IFERROR(INDEX(CHOOSE(MATCH($X49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49" t="str" cm="1">
        <f t="array" ref="AE49">IFERROR(INDEX(CHOOSE(MATCH($X49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49" t="str" cm="1">
        <f t="array" ref="AF49">IFERROR(INDEX(CHOOSE(MATCH($X49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49" t="str" cm="1">
        <f t="array" ref="AG49">IFERROR(INDEX(CHOOSE(MATCH($X49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49" t="str" cm="1">
        <f t="array" ref="AH49">IFERROR(INDEX(CHOOSE(MATCH($X49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49" t="str" cm="1">
        <f t="array" ref="AI49">IFERROR(INDEX(CHOOSE(MATCH($X49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49" t="str" cm="1">
        <f t="array" ref="AJ49">IFERROR(INDEX(CHOOSE(MATCH($X49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49" t="str" cm="1">
        <f t="array" ref="AK49">IFERROR(INDEX(CHOOSE(MATCH($X49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49" t="str" cm="1">
        <f t="array" ref="AL49">IFERROR(INDEX(CHOOSE(MATCH($X49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49" t="str" cm="1">
        <f t="array" ref="AM49">IFERROR(INDEX(CHOOSE(MATCH($X49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49" t="str" cm="1">
        <f t="array" ref="AN49">IFERROR(INDEX(CHOOSE(MATCH($X49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49" t="str" cm="1">
        <f t="array" ref="AO49">IFERROR(INDEX(CHOOSE(MATCH($X49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49" t="str" cm="1">
        <f t="array" ref="AP49">IFERROR(INDEX(CHOOSE(MATCH($X49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49" t="str" cm="1">
        <f t="array" ref="AQ49">IFERROR(INDEX(CHOOSE(MATCH($X49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49" t="str" cm="1">
        <f t="array" ref="AR49">IFERROR(INDEX(CHOOSE(MATCH($X49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49" t="str" cm="1">
        <f t="array" ref="AS49">IFERROR(INDEX(CHOOSE(MATCH($X49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49" t="str" cm="1">
        <f t="array" ref="AT49">IFERROR(INDEX(CHOOSE(MATCH($X49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49" t="str" cm="1">
        <f t="array" ref="AU49">IFERROR(INDEX(CHOOSE(MATCH($X49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49" t="str" cm="1">
        <f t="array" ref="AV49">IFERROR(INDEX(CHOOSE(MATCH($X49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49" t="str" cm="1">
        <f t="array" ref="AW49">IFERROR(INDEX(CHOOSE(MATCH($X49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49" t="str" cm="1">
        <f t="array" ref="AX49">IFERROR(INDEX(CHOOSE(MATCH($X49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49" t="str" cm="1">
        <f t="array" ref="AY49">IFERROR(INDEX(CHOOSE(MATCH($X49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49" t="str" cm="1">
        <f t="array" ref="AZ49">IFERROR(INDEX(CHOOSE(MATCH($X49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49" t="str" cm="1">
        <f t="array" ref="BA49">IFERROR(INDEX(CHOOSE(MATCH($X49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49" t="str" cm="1">
        <f t="array" ref="BB49">IFERROR(INDEX(CHOOSE(MATCH($X49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49" t="str" cm="1">
        <f t="array" ref="BC49">IFERROR(INDEX(CHOOSE(MATCH($X49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49" t="str" cm="1">
        <f t="array" ref="BD49">IFERROR(INDEX(CHOOSE(MATCH($X49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49" t="str" cm="1">
        <f t="array" ref="BE49">IFERROR(INDEX(CHOOSE(MATCH($X49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49" t="str" cm="1">
        <f t="array" ref="BF49">IFERROR(INDEX(CHOOSE(MATCH($X49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49" t="str" cm="1">
        <f t="array" ref="BG49">IFERROR(INDEX(CHOOSE(MATCH($X49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49" s="4" t="e">
        <f>AVERAGE(Table2[[#This Row],[11-Mar]:[Column33]])</f>
        <v>#DIV/0!</v>
      </c>
      <c r="BJ49">
        <f>COUNT(Table2[[#This Row],[11-Mar]:[Column33]])</f>
        <v>0</v>
      </c>
    </row>
    <row r="50" spans="1:62" x14ac:dyDescent="0.45">
      <c r="A50" s="1">
        <v>46141</v>
      </c>
      <c r="B50" t="s">
        <v>73</v>
      </c>
      <c r="C50">
        <v>-1</v>
      </c>
      <c r="D50" s="37">
        <v>1</v>
      </c>
      <c r="E50" t="s">
        <v>144</v>
      </c>
      <c r="F50">
        <v>5</v>
      </c>
      <c r="H50" t="s">
        <v>88</v>
      </c>
      <c r="I50">
        <v>-3</v>
      </c>
      <c r="K50" t="s">
        <v>28</v>
      </c>
      <c r="L50">
        <v>4</v>
      </c>
      <c r="V50" s="37">
        <v>1</v>
      </c>
      <c r="X50" t="s">
        <v>91</v>
      </c>
      <c r="Z50" s="6"/>
      <c r="AA50" s="10">
        <f>AVERAGE(Table2[[#This Row],[11-Mar]:[Column33]])</f>
        <v>2.5</v>
      </c>
      <c r="AB50">
        <v>3</v>
      </c>
      <c r="AC50" t="str" cm="1">
        <f t="array" ref="AC50">IFERROR(INDEX(CHOOSE(MATCH($X50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50" t="str" cm="1">
        <f t="array" ref="AD50">IFERROR(INDEX(CHOOSE(MATCH($X50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50" t="str" cm="1">
        <f t="array" ref="AE50">IFERROR(INDEX(CHOOSE(MATCH($X50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50" t="str" cm="1">
        <f t="array" ref="AF50">IFERROR(INDEX(CHOOSE(MATCH($X50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50">
        <v>2</v>
      </c>
      <c r="AH50" t="str" cm="1">
        <f t="array" ref="AH50">IFERROR(INDEX(CHOOSE(MATCH($X50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50" t="str" cm="1">
        <f t="array" ref="AI50">IFERROR(INDEX(CHOOSE(MATCH($X50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50" t="str" cm="1">
        <f t="array" ref="AJ50">IFERROR(INDEX(CHOOSE(MATCH($X50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50" t="str" cm="1">
        <f t="array" ref="AK50">IFERROR(INDEX(CHOOSE(MATCH($X50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50" t="str" cm="1">
        <f t="array" ref="AL50">IFERROR(INDEX(CHOOSE(MATCH($X50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50" t="str" cm="1">
        <f t="array" ref="AM50">IFERROR(INDEX(CHOOSE(MATCH($X50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50" t="str" cm="1">
        <f t="array" ref="AN50">IFERROR(INDEX(CHOOSE(MATCH($X50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50" t="str" cm="1">
        <f t="array" ref="AO50">IFERROR(INDEX(CHOOSE(MATCH($X50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50" t="str" cm="1">
        <f t="array" ref="AP50">IFERROR(INDEX(CHOOSE(MATCH($X50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50" t="str" cm="1">
        <f t="array" ref="AQ50">IFERROR(INDEX(CHOOSE(MATCH($X50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50" t="str" cm="1">
        <f t="array" ref="AR50">IFERROR(INDEX(CHOOSE(MATCH($X50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50" t="str" cm="1">
        <f t="array" ref="AS50">IFERROR(INDEX(CHOOSE(MATCH($X50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50" t="str" cm="1">
        <f t="array" ref="AT50">IFERROR(INDEX(CHOOSE(MATCH($X50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50" t="str" cm="1">
        <f t="array" ref="AU50">IFERROR(INDEX(CHOOSE(MATCH($X50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50" t="str" cm="1">
        <f t="array" ref="AV50">IFERROR(INDEX(CHOOSE(MATCH($X50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50" t="str" cm="1">
        <f t="array" ref="AW50">IFERROR(INDEX(CHOOSE(MATCH($X50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50" t="str" cm="1">
        <f t="array" ref="AX50">IFERROR(INDEX(CHOOSE(MATCH($X50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50" t="str" cm="1">
        <f t="array" ref="AY50">IFERROR(INDEX(CHOOSE(MATCH($X50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50" t="str" cm="1">
        <f t="array" ref="AZ50">IFERROR(INDEX(CHOOSE(MATCH($X50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50" t="str" cm="1">
        <f t="array" ref="BA50">IFERROR(INDEX(CHOOSE(MATCH($X50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50" t="str" cm="1">
        <f t="array" ref="BB50">IFERROR(INDEX(CHOOSE(MATCH($X50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50" t="str" cm="1">
        <f t="array" ref="BC50">IFERROR(INDEX(CHOOSE(MATCH($X50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50" t="str" cm="1">
        <f t="array" ref="BD50">IFERROR(INDEX(CHOOSE(MATCH($X50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50" t="str" cm="1">
        <f t="array" ref="BE50">IFERROR(INDEX(CHOOSE(MATCH($X50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50" t="str" cm="1">
        <f t="array" ref="BF50">IFERROR(INDEX(CHOOSE(MATCH($X50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50" t="str" cm="1">
        <f t="array" ref="BG50">IFERROR(INDEX(CHOOSE(MATCH($X50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50" s="4">
        <f>AVERAGE(Table2[[#This Row],[11-Mar]:[Column33]])</f>
        <v>2.5</v>
      </c>
      <c r="BJ50">
        <f>COUNT(Table2[[#This Row],[11-Mar]:[Column33]])</f>
        <v>2</v>
      </c>
    </row>
    <row r="51" spans="1:62" x14ac:dyDescent="0.45">
      <c r="A51" s="44">
        <v>46141</v>
      </c>
      <c r="B51" s="39" t="s">
        <v>46</v>
      </c>
      <c r="C51" s="39">
        <v>-3</v>
      </c>
      <c r="D51" s="39"/>
      <c r="E51" s="39" t="s">
        <v>31</v>
      </c>
      <c r="F51" s="39">
        <v>-5</v>
      </c>
      <c r="G51" s="37">
        <v>1</v>
      </c>
      <c r="H51" s="39" t="s">
        <v>64</v>
      </c>
      <c r="I51" s="39">
        <v>1</v>
      </c>
      <c r="J51" s="39"/>
      <c r="K51" s="39" t="s">
        <v>48</v>
      </c>
      <c r="L51" s="39">
        <v>-2</v>
      </c>
      <c r="M51" s="39"/>
      <c r="N51" s="39"/>
      <c r="O51" s="39"/>
      <c r="P51" s="39"/>
      <c r="Q51" s="39"/>
      <c r="R51" s="39"/>
      <c r="S51" s="39"/>
      <c r="T51" s="39"/>
      <c r="U51" s="39" t="s">
        <v>19</v>
      </c>
      <c r="V51" s="37">
        <v>1</v>
      </c>
      <c r="X51" t="s">
        <v>82</v>
      </c>
      <c r="Z51" s="6"/>
      <c r="AA51" s="10" t="e">
        <f>AVERAGE(Table2[[#This Row],[11-Mar]:[Column33]])</f>
        <v>#DIV/0!</v>
      </c>
      <c r="AC51" t="str" cm="1">
        <f t="array" ref="AC51">IFERROR(INDEX(CHOOSE(MATCH($X51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51" t="str" cm="1">
        <f t="array" ref="AD51">IFERROR(INDEX(CHOOSE(MATCH($X51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51" t="str" cm="1">
        <f t="array" ref="AE51">IFERROR(INDEX(CHOOSE(MATCH($X51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51" t="str" cm="1">
        <f t="array" ref="AF51">IFERROR(INDEX(CHOOSE(MATCH($X51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51" t="str" cm="1">
        <f t="array" ref="AG51">IFERROR(INDEX(CHOOSE(MATCH($X51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51" t="str" cm="1">
        <f t="array" ref="AH51">IFERROR(INDEX(CHOOSE(MATCH($X51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51" t="str" cm="1">
        <f t="array" ref="AI51">IFERROR(INDEX(CHOOSE(MATCH($X51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51" t="str" cm="1">
        <f t="array" ref="AJ51">IFERROR(INDEX(CHOOSE(MATCH($X51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51" t="str" cm="1">
        <f t="array" ref="AK51">IFERROR(INDEX(CHOOSE(MATCH($X51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51" t="str" cm="1">
        <f t="array" ref="AL51">IFERROR(INDEX(CHOOSE(MATCH($X51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51" t="str" cm="1">
        <f t="array" ref="AM51">IFERROR(INDEX(CHOOSE(MATCH($X51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51" t="str" cm="1">
        <f t="array" ref="AN51">IFERROR(INDEX(CHOOSE(MATCH($X51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51" t="str" cm="1">
        <f t="array" ref="AO51">IFERROR(INDEX(CHOOSE(MATCH($X51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51" t="str" cm="1">
        <f t="array" ref="AP51">IFERROR(INDEX(CHOOSE(MATCH($X51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51" t="str" cm="1">
        <f t="array" ref="AQ51">IFERROR(INDEX(CHOOSE(MATCH($X51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51" t="str" cm="1">
        <f t="array" ref="AR51">IFERROR(INDEX(CHOOSE(MATCH($X51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51" t="str" cm="1">
        <f t="array" ref="AS51">IFERROR(INDEX(CHOOSE(MATCH($X51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51" t="str" cm="1">
        <f t="array" ref="AT51">IFERROR(INDEX(CHOOSE(MATCH($X51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51" t="str" cm="1">
        <f t="array" ref="AU51">IFERROR(INDEX(CHOOSE(MATCH($X51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51" t="str" cm="1">
        <f t="array" ref="AV51">IFERROR(INDEX(CHOOSE(MATCH($X51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51" t="str" cm="1">
        <f t="array" ref="AW51">IFERROR(INDEX(CHOOSE(MATCH($X51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51" t="str" cm="1">
        <f t="array" ref="AX51">IFERROR(INDEX(CHOOSE(MATCH($X51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51" t="str" cm="1">
        <f t="array" ref="AY51">IFERROR(INDEX(CHOOSE(MATCH($X51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51" t="str" cm="1">
        <f t="array" ref="AZ51">IFERROR(INDEX(CHOOSE(MATCH($X51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51" t="str" cm="1">
        <f t="array" ref="BA51">IFERROR(INDEX(CHOOSE(MATCH($X51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51" t="str" cm="1">
        <f t="array" ref="BB51">IFERROR(INDEX(CHOOSE(MATCH($X51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51" t="str" cm="1">
        <f t="array" ref="BC51">IFERROR(INDEX(CHOOSE(MATCH($X51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51" t="str" cm="1">
        <f t="array" ref="BD51">IFERROR(INDEX(CHOOSE(MATCH($X51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51" t="str" cm="1">
        <f t="array" ref="BE51">IFERROR(INDEX(CHOOSE(MATCH($X51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51" t="str" cm="1">
        <f t="array" ref="BF51">IFERROR(INDEX(CHOOSE(MATCH($X51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51" t="str" cm="1">
        <f t="array" ref="BG51">IFERROR(INDEX(CHOOSE(MATCH($X51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51" s="4" t="e">
        <f>AVERAGE(Table2[[#This Row],[11-Mar]:[Column33]])</f>
        <v>#DIV/0!</v>
      </c>
      <c r="BJ51">
        <f>COUNT(Table2[[#This Row],[11-Mar]:[Column33]])</f>
        <v>0</v>
      </c>
    </row>
    <row r="52" spans="1:62" x14ac:dyDescent="0.45">
      <c r="A52" s="1">
        <v>46141</v>
      </c>
      <c r="B52" t="s">
        <v>34</v>
      </c>
      <c r="C52">
        <v>0</v>
      </c>
      <c r="E52" t="s">
        <v>40</v>
      </c>
      <c r="F52">
        <v>1</v>
      </c>
      <c r="G52" s="37">
        <v>1</v>
      </c>
      <c r="H52" t="s">
        <v>98</v>
      </c>
      <c r="I52">
        <v>1</v>
      </c>
      <c r="K52" t="s">
        <v>147</v>
      </c>
      <c r="L52">
        <v>1</v>
      </c>
      <c r="V52" s="37">
        <v>1</v>
      </c>
      <c r="X52" t="s">
        <v>160</v>
      </c>
      <c r="Z52" s="6"/>
      <c r="AA52" s="10">
        <f>AVERAGE(Table2[[#This Row],[11-Mar]:[Column33]])</f>
        <v>6</v>
      </c>
      <c r="AC52" t="str" cm="1">
        <f t="array" ref="AC52">IFERROR(INDEX(CHOOSE(MATCH($X52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52" t="str" cm="1">
        <f t="array" ref="AD52">IFERROR(INDEX(CHOOSE(MATCH($X52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52" t="str" cm="1">
        <f t="array" ref="AE52">IFERROR(INDEX(CHOOSE(MATCH($X52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52" t="str" cm="1">
        <f t="array" ref="AF52">IFERROR(INDEX(CHOOSE(MATCH($X52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52" t="str" cm="1">
        <f t="array" ref="AG52">IFERROR(INDEX(CHOOSE(MATCH($X52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52">
        <v>6</v>
      </c>
      <c r="AI52" t="str" cm="1">
        <f t="array" ref="AI52">IFERROR(INDEX(CHOOSE(MATCH($X52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52" t="str" cm="1">
        <f t="array" ref="AJ52">IFERROR(INDEX(CHOOSE(MATCH($X52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52" t="str" cm="1">
        <f t="array" ref="AK52">IFERROR(INDEX(CHOOSE(MATCH($X52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52" t="str" cm="1">
        <f t="array" ref="AL52">IFERROR(INDEX(CHOOSE(MATCH($X52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52" t="str" cm="1">
        <f t="array" ref="AM52">IFERROR(INDEX(CHOOSE(MATCH($X52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52" t="str" cm="1">
        <f t="array" ref="AN52">IFERROR(INDEX(CHOOSE(MATCH($X52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52" t="str" cm="1">
        <f t="array" ref="AO52">IFERROR(INDEX(CHOOSE(MATCH($X52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52" t="str" cm="1">
        <f t="array" ref="AP52">IFERROR(INDEX(CHOOSE(MATCH($X52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52" t="str" cm="1">
        <f t="array" ref="AQ52">IFERROR(INDEX(CHOOSE(MATCH($X52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52" t="str" cm="1">
        <f t="array" ref="AR52">IFERROR(INDEX(CHOOSE(MATCH($X52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52" t="str" cm="1">
        <f t="array" ref="AS52">IFERROR(INDEX(CHOOSE(MATCH($X52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52" t="str" cm="1">
        <f t="array" ref="AT52">IFERROR(INDEX(CHOOSE(MATCH($X52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52" t="str" cm="1">
        <f t="array" ref="AU52">IFERROR(INDEX(CHOOSE(MATCH($X52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52" t="str" cm="1">
        <f t="array" ref="AV52">IFERROR(INDEX(CHOOSE(MATCH($X52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52" t="str" cm="1">
        <f t="array" ref="AW52">IFERROR(INDEX(CHOOSE(MATCH($X52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52" t="str" cm="1">
        <f t="array" ref="AX52">IFERROR(INDEX(CHOOSE(MATCH($X52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52" t="str" cm="1">
        <f t="array" ref="AY52">IFERROR(INDEX(CHOOSE(MATCH($X52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52" t="str" cm="1">
        <f t="array" ref="AZ52">IFERROR(INDEX(CHOOSE(MATCH($X52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52" t="str" cm="1">
        <f t="array" ref="BA52">IFERROR(INDEX(CHOOSE(MATCH($X52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52" t="str" cm="1">
        <f t="array" ref="BB52">IFERROR(INDEX(CHOOSE(MATCH($X52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52" t="str" cm="1">
        <f t="array" ref="BC52">IFERROR(INDEX(CHOOSE(MATCH($X52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52" t="str" cm="1">
        <f t="array" ref="BD52">IFERROR(INDEX(CHOOSE(MATCH($X52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52" t="str" cm="1">
        <f t="array" ref="BE52">IFERROR(INDEX(CHOOSE(MATCH($X52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52" t="str" cm="1">
        <f t="array" ref="BF52">IFERROR(INDEX(CHOOSE(MATCH($X52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52" t="str" cm="1">
        <f t="array" ref="BG52">IFERROR(INDEX(CHOOSE(MATCH($X52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52" s="4">
        <f>AVERAGE(Table2[[#This Row],[11-Mar]:[Column33]])</f>
        <v>6</v>
      </c>
      <c r="BJ52">
        <f>COUNT(Table2[[#This Row],[11-Mar]:[Column33]])</f>
        <v>1</v>
      </c>
    </row>
    <row r="53" spans="1:62" x14ac:dyDescent="0.45">
      <c r="A53" s="1">
        <v>46141</v>
      </c>
      <c r="B53" t="s">
        <v>90</v>
      </c>
      <c r="C53">
        <v>0</v>
      </c>
      <c r="E53" t="s">
        <v>33</v>
      </c>
      <c r="F53">
        <v>0</v>
      </c>
      <c r="H53" t="s">
        <v>54</v>
      </c>
      <c r="I53">
        <v>1</v>
      </c>
      <c r="K53" t="s">
        <v>157</v>
      </c>
      <c r="L53">
        <v>-4</v>
      </c>
      <c r="X53" t="s">
        <v>158</v>
      </c>
      <c r="Z53" s="6"/>
      <c r="AA53" s="10">
        <f>AVERAGE(Table2[[#This Row],[11-Mar]:[Column33]])</f>
        <v>0</v>
      </c>
      <c r="AC53" t="str" cm="1">
        <f t="array" ref="AC53">IFERROR(INDEX(CHOOSE(MATCH($X53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53" t="str" cm="1">
        <f t="array" ref="AD53">IFERROR(INDEX(CHOOSE(MATCH($X53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53" t="str" cm="1">
        <f t="array" ref="AE53">IFERROR(INDEX(CHOOSE(MATCH($X53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53" t="str" cm="1">
        <f t="array" ref="AF53">IFERROR(INDEX(CHOOSE(MATCH($X53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53" t="str" cm="1">
        <f t="array" ref="AG53">IFERROR(INDEX(CHOOSE(MATCH($X53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53">
        <v>0</v>
      </c>
      <c r="AI53" t="str" cm="1">
        <f t="array" ref="AI53">IFERROR(INDEX(CHOOSE(MATCH($X53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53" t="str" cm="1">
        <f t="array" ref="AJ53">IFERROR(INDEX(CHOOSE(MATCH($X53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53" t="str" cm="1">
        <f t="array" ref="AK53">IFERROR(INDEX(CHOOSE(MATCH($X53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53" t="str" cm="1">
        <f t="array" ref="AL53">IFERROR(INDEX(CHOOSE(MATCH($X53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53" t="str" cm="1">
        <f t="array" ref="AM53">IFERROR(INDEX(CHOOSE(MATCH($X53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53" t="str" cm="1">
        <f t="array" ref="AN53">IFERROR(INDEX(CHOOSE(MATCH($X53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53" t="str" cm="1">
        <f t="array" ref="AO53">IFERROR(INDEX(CHOOSE(MATCH($X53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53" t="str" cm="1">
        <f t="array" ref="AP53">IFERROR(INDEX(CHOOSE(MATCH($X53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53" t="str" cm="1">
        <f t="array" ref="AQ53">IFERROR(INDEX(CHOOSE(MATCH($X53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53" t="str" cm="1">
        <f t="array" ref="AR53">IFERROR(INDEX(CHOOSE(MATCH($X53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53" t="str" cm="1">
        <f t="array" ref="AS53">IFERROR(INDEX(CHOOSE(MATCH($X53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53" t="str" cm="1">
        <f t="array" ref="AT53">IFERROR(INDEX(CHOOSE(MATCH($X53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53" t="str" cm="1">
        <f t="array" ref="AU53">IFERROR(INDEX(CHOOSE(MATCH($X53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53" t="str" cm="1">
        <f t="array" ref="AV53">IFERROR(INDEX(CHOOSE(MATCH($X53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53" t="str" cm="1">
        <f t="array" ref="AW53">IFERROR(INDEX(CHOOSE(MATCH($X53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53" t="str" cm="1">
        <f t="array" ref="AX53">IFERROR(INDEX(CHOOSE(MATCH($X53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53" t="str" cm="1">
        <f t="array" ref="AY53">IFERROR(INDEX(CHOOSE(MATCH($X53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53" t="str" cm="1">
        <f t="array" ref="AZ53">IFERROR(INDEX(CHOOSE(MATCH($X53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53" t="str" cm="1">
        <f t="array" ref="BA53">IFERROR(INDEX(CHOOSE(MATCH($X53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53" t="str" cm="1">
        <f t="array" ref="BB53">IFERROR(INDEX(CHOOSE(MATCH($X53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53" t="str" cm="1">
        <f t="array" ref="BC53">IFERROR(INDEX(CHOOSE(MATCH($X53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53" t="str" cm="1">
        <f t="array" ref="BD53">IFERROR(INDEX(CHOOSE(MATCH($X53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53" t="str" cm="1">
        <f t="array" ref="BE53">IFERROR(INDEX(CHOOSE(MATCH($X53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53" t="str" cm="1">
        <f t="array" ref="BF53">IFERROR(INDEX(CHOOSE(MATCH($X53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53" t="str" cm="1">
        <f t="array" ref="BG53">IFERROR(INDEX(CHOOSE(MATCH($X53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53" s="4">
        <f>AVERAGE(Table2[[#This Row],[11-Mar]:[Column33]])</f>
        <v>0</v>
      </c>
      <c r="BJ53">
        <f>COUNT(Table2[[#This Row],[11-Mar]:[Column33]])</f>
        <v>1</v>
      </c>
    </row>
    <row r="54" spans="1:62" x14ac:dyDescent="0.45">
      <c r="A54" s="1">
        <v>46141</v>
      </c>
      <c r="B54" t="s">
        <v>60</v>
      </c>
      <c r="C54">
        <v>0</v>
      </c>
      <c r="E54" t="s">
        <v>39</v>
      </c>
      <c r="F54">
        <v>-2</v>
      </c>
      <c r="H54" t="s">
        <v>104</v>
      </c>
      <c r="I54">
        <v>1</v>
      </c>
      <c r="K54" t="s">
        <v>29</v>
      </c>
      <c r="L54">
        <v>2</v>
      </c>
      <c r="X54" t="s">
        <v>92</v>
      </c>
      <c r="Z54" s="6"/>
      <c r="AA54" s="10" t="e">
        <f>AVERAGE(Table2[[#This Row],[11-Mar]:[Column33]])</f>
        <v>#DIV/0!</v>
      </c>
      <c r="AC54" t="str" cm="1">
        <f t="array" ref="AC54">IFERROR(INDEX(CHOOSE(MATCH($X54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54" t="str" cm="1">
        <f t="array" ref="AD54">IFERROR(INDEX(CHOOSE(MATCH($X54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54" t="str" cm="1">
        <f t="array" ref="AE54">IFERROR(INDEX(CHOOSE(MATCH($X54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54" t="str" cm="1">
        <f t="array" ref="AF54">IFERROR(INDEX(CHOOSE(MATCH($X54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54" t="str" cm="1">
        <f t="array" ref="AG54">IFERROR(INDEX(CHOOSE(MATCH($X54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54" t="str" cm="1">
        <f t="array" ref="AH54">IFERROR(INDEX(CHOOSE(MATCH($X54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54" t="str" cm="1">
        <f t="array" ref="AI54">IFERROR(INDEX(CHOOSE(MATCH($X54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54" t="str" cm="1">
        <f t="array" ref="AJ54">IFERROR(INDEX(CHOOSE(MATCH($X54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54" t="str" cm="1">
        <f t="array" ref="AK54">IFERROR(INDEX(CHOOSE(MATCH($X54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54" t="str" cm="1">
        <f t="array" ref="AL54">IFERROR(INDEX(CHOOSE(MATCH($X54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54" t="str" cm="1">
        <f t="array" ref="AM54">IFERROR(INDEX(CHOOSE(MATCH($X54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54" t="str" cm="1">
        <f t="array" ref="AN54">IFERROR(INDEX(CHOOSE(MATCH($X54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54" t="str" cm="1">
        <f t="array" ref="AO54">IFERROR(INDEX(CHOOSE(MATCH($X54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54" t="str" cm="1">
        <f t="array" ref="AP54">IFERROR(INDEX(CHOOSE(MATCH($X54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54" t="str" cm="1">
        <f t="array" ref="AQ54">IFERROR(INDEX(CHOOSE(MATCH($X54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54" t="str" cm="1">
        <f t="array" ref="AR54">IFERROR(INDEX(CHOOSE(MATCH($X54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54" t="str" cm="1">
        <f t="array" ref="AS54">IFERROR(INDEX(CHOOSE(MATCH($X54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54" t="str" cm="1">
        <f t="array" ref="AT54">IFERROR(INDEX(CHOOSE(MATCH($X54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54" t="str" cm="1">
        <f t="array" ref="AU54">IFERROR(INDEX(CHOOSE(MATCH($X54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54" t="str" cm="1">
        <f t="array" ref="AV54">IFERROR(INDEX(CHOOSE(MATCH($X54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54" t="str" cm="1">
        <f t="array" ref="AW54">IFERROR(INDEX(CHOOSE(MATCH($X54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54" t="str" cm="1">
        <f t="array" ref="AX54">IFERROR(INDEX(CHOOSE(MATCH($X54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54" t="str" cm="1">
        <f t="array" ref="AY54">IFERROR(INDEX(CHOOSE(MATCH($X54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54" t="str" cm="1">
        <f t="array" ref="AZ54">IFERROR(INDEX(CHOOSE(MATCH($X54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54" t="str" cm="1">
        <f t="array" ref="BA54">IFERROR(INDEX(CHOOSE(MATCH($X54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54" t="str" cm="1">
        <f t="array" ref="BB54">IFERROR(INDEX(CHOOSE(MATCH($X54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54" t="str" cm="1">
        <f t="array" ref="BC54">IFERROR(INDEX(CHOOSE(MATCH($X54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54" t="str" cm="1">
        <f t="array" ref="BD54">IFERROR(INDEX(CHOOSE(MATCH($X54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54" t="str" cm="1">
        <f t="array" ref="BE54">IFERROR(INDEX(CHOOSE(MATCH($X54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54" t="str" cm="1">
        <f t="array" ref="BF54">IFERROR(INDEX(CHOOSE(MATCH($X54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54" t="str" cm="1">
        <f t="array" ref="BG54">IFERROR(INDEX(CHOOSE(MATCH($X54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54" s="4" t="e">
        <f>AVERAGE(Table2[[#This Row],[11-Mar]:[Column33]])</f>
        <v>#DIV/0!</v>
      </c>
      <c r="BJ54">
        <f>COUNT(Table2[[#This Row],[11-Mar]:[Column33]])</f>
        <v>0</v>
      </c>
    </row>
    <row r="55" spans="1:62" x14ac:dyDescent="0.45">
      <c r="A55" s="1">
        <v>46148</v>
      </c>
      <c r="B55" t="s">
        <v>43</v>
      </c>
      <c r="C55">
        <v>2</v>
      </c>
      <c r="E55" t="s">
        <v>50</v>
      </c>
      <c r="F55">
        <v>3</v>
      </c>
      <c r="H55" t="s">
        <v>60</v>
      </c>
      <c r="I55">
        <v>2</v>
      </c>
      <c r="T55">
        <f t="shared" ref="T55:T59" si="1">SUM(C55,F55,I55,L55,O55,R55)</f>
        <v>7</v>
      </c>
      <c r="X55" t="s">
        <v>85</v>
      </c>
      <c r="Y55">
        <v>1</v>
      </c>
      <c r="Z55" s="6"/>
      <c r="AA55" s="10">
        <f>AVERAGE(Table2[[#This Row],[11-Mar]:[Column33]])</f>
        <v>3</v>
      </c>
      <c r="AC55" t="str" cm="1">
        <f t="array" ref="AC55">IFERROR(INDEX(CHOOSE(MATCH($X55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55" t="str" cm="1">
        <f t="array" ref="AD55">IFERROR(INDEX(CHOOSE(MATCH($X55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55" t="str" cm="1">
        <f t="array" ref="AE55">IFERROR(INDEX(CHOOSE(MATCH($X55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55" t="str" cm="1">
        <f t="array" ref="AF55">IFERROR(INDEX(CHOOSE(MATCH($X55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55" t="str" cm="1">
        <f t="array" ref="AG55">IFERROR(INDEX(CHOOSE(MATCH($X55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55" t="str" cm="1">
        <f t="array" ref="AH55">IFERROR(INDEX(CHOOSE(MATCH($X55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55" t="str" cm="1">
        <f t="array" ref="AI55">IFERROR(INDEX(CHOOSE(MATCH($X55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55">
        <v>3</v>
      </c>
      <c r="AK55" t="str" cm="1">
        <f t="array" ref="AK55">IFERROR(INDEX(CHOOSE(MATCH($X55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55" t="str" cm="1">
        <f t="array" ref="AL55">IFERROR(INDEX(CHOOSE(MATCH($X55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55" t="str" cm="1">
        <f t="array" ref="AM55">IFERROR(INDEX(CHOOSE(MATCH($X55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55" t="str" cm="1">
        <f t="array" ref="AN55">IFERROR(INDEX(CHOOSE(MATCH($X55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55" t="str" cm="1">
        <f t="array" ref="AO55">IFERROR(INDEX(CHOOSE(MATCH($X55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55" t="str" cm="1">
        <f t="array" ref="AP55">IFERROR(INDEX(CHOOSE(MATCH($X55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55" t="str" cm="1">
        <f t="array" ref="AQ55">IFERROR(INDEX(CHOOSE(MATCH($X55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55" t="str" cm="1">
        <f t="array" ref="AR55">IFERROR(INDEX(CHOOSE(MATCH($X55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55" t="str" cm="1">
        <f t="array" ref="AS55">IFERROR(INDEX(CHOOSE(MATCH($X55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55" t="str" cm="1">
        <f t="array" ref="AT55">IFERROR(INDEX(CHOOSE(MATCH($X55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55" t="str" cm="1">
        <f t="array" ref="AU55">IFERROR(INDEX(CHOOSE(MATCH($X55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55" t="str" cm="1">
        <f t="array" ref="AV55">IFERROR(INDEX(CHOOSE(MATCH($X55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55" t="str" cm="1">
        <f t="array" ref="AW55">IFERROR(INDEX(CHOOSE(MATCH($X55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55" t="str" cm="1">
        <f t="array" ref="AX55">IFERROR(INDEX(CHOOSE(MATCH($X55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55" t="str" cm="1">
        <f t="array" ref="AY55">IFERROR(INDEX(CHOOSE(MATCH($X55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55" t="str" cm="1">
        <f t="array" ref="AZ55">IFERROR(INDEX(CHOOSE(MATCH($X55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55" t="str" cm="1">
        <f t="array" ref="BA55">IFERROR(INDEX(CHOOSE(MATCH($X55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55" t="str" cm="1">
        <f t="array" ref="BB55">IFERROR(INDEX(CHOOSE(MATCH($X55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55" t="str" cm="1">
        <f t="array" ref="BC55">IFERROR(INDEX(CHOOSE(MATCH($X55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55" t="str" cm="1">
        <f t="array" ref="BD55">IFERROR(INDEX(CHOOSE(MATCH($X55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55" t="str" cm="1">
        <f t="array" ref="BE55">IFERROR(INDEX(CHOOSE(MATCH($X55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55" t="str" cm="1">
        <f t="array" ref="BF55">IFERROR(INDEX(CHOOSE(MATCH($X55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55" t="str" cm="1">
        <f t="array" ref="BG55">IFERROR(INDEX(CHOOSE(MATCH($X55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55" s="4">
        <f>AVERAGE(Table2[[#This Row],[11-Mar]:[Column33]])</f>
        <v>3</v>
      </c>
      <c r="BJ55">
        <f>COUNT(Table2[[#This Row],[11-Mar]:[Column33]])</f>
        <v>1</v>
      </c>
    </row>
    <row r="56" spans="1:62" x14ac:dyDescent="0.45">
      <c r="A56" s="44">
        <v>46148</v>
      </c>
      <c r="B56" s="39" t="s">
        <v>29</v>
      </c>
      <c r="C56" s="39">
        <v>0</v>
      </c>
      <c r="D56" s="39"/>
      <c r="E56" s="39" t="s">
        <v>36</v>
      </c>
      <c r="F56" s="39">
        <v>-2</v>
      </c>
      <c r="G56" s="39"/>
      <c r="H56" s="39" t="s">
        <v>31</v>
      </c>
      <c r="I56" s="39">
        <v>-2</v>
      </c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>
        <f t="shared" si="1"/>
        <v>-4</v>
      </c>
      <c r="U56" s="39" t="s">
        <v>146</v>
      </c>
      <c r="X56" t="s">
        <v>87</v>
      </c>
      <c r="Z56" s="6"/>
      <c r="AA56" s="10" t="e">
        <f>AVERAGE(Table2[[#This Row],[11-Mar]:[Column33]])</f>
        <v>#DIV/0!</v>
      </c>
      <c r="AC56" t="str" cm="1">
        <f t="array" ref="AC56">IFERROR(INDEX(CHOOSE(MATCH($X56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56" t="str" cm="1">
        <f t="array" ref="AD56">IFERROR(INDEX(CHOOSE(MATCH($X56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56" t="str" cm="1">
        <f t="array" ref="AE56">IFERROR(INDEX(CHOOSE(MATCH($X56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56" t="str" cm="1">
        <f t="array" ref="AF56">IFERROR(INDEX(CHOOSE(MATCH($X56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56" t="str" cm="1">
        <f t="array" ref="AG56">IFERROR(INDEX(CHOOSE(MATCH($X56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56" t="str" cm="1">
        <f t="array" ref="AH56">IFERROR(INDEX(CHOOSE(MATCH($X56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56" t="str" cm="1">
        <f t="array" ref="AI56">IFERROR(INDEX(CHOOSE(MATCH($X56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56" t="str" cm="1">
        <f t="array" ref="AJ56">IFERROR(INDEX(CHOOSE(MATCH($X56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56" t="str" cm="1">
        <f t="array" ref="AK56">IFERROR(INDEX(CHOOSE(MATCH($X56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56" t="str" cm="1">
        <f t="array" ref="AL56">IFERROR(INDEX(CHOOSE(MATCH($X56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56" t="str" cm="1">
        <f t="array" ref="AM56">IFERROR(INDEX(CHOOSE(MATCH($X56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56" t="str" cm="1">
        <f t="array" ref="AN56">IFERROR(INDEX(CHOOSE(MATCH($X56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56" t="str" cm="1">
        <f t="array" ref="AO56">IFERROR(INDEX(CHOOSE(MATCH($X56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56" t="str" cm="1">
        <f t="array" ref="AP56">IFERROR(INDEX(CHOOSE(MATCH($X56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56" t="str" cm="1">
        <f t="array" ref="AQ56">IFERROR(INDEX(CHOOSE(MATCH($X56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56" t="str" cm="1">
        <f t="array" ref="AR56">IFERROR(INDEX(CHOOSE(MATCH($X56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56" t="str" cm="1">
        <f t="array" ref="AS56">IFERROR(INDEX(CHOOSE(MATCH($X56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56" t="str" cm="1">
        <f t="array" ref="AT56">IFERROR(INDEX(CHOOSE(MATCH($X56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56" t="str" cm="1">
        <f t="array" ref="AU56">IFERROR(INDEX(CHOOSE(MATCH($X56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56" t="str" cm="1">
        <f t="array" ref="AV56">IFERROR(INDEX(CHOOSE(MATCH($X56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56" t="str" cm="1">
        <f t="array" ref="AW56">IFERROR(INDEX(CHOOSE(MATCH($X56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56" t="str" cm="1">
        <f t="array" ref="AX56">IFERROR(INDEX(CHOOSE(MATCH($X56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56" t="str" cm="1">
        <f t="array" ref="AY56">IFERROR(INDEX(CHOOSE(MATCH($X56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56" t="str" cm="1">
        <f t="array" ref="AZ56">IFERROR(INDEX(CHOOSE(MATCH($X56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56" t="str" cm="1">
        <f t="array" ref="BA56">IFERROR(INDEX(CHOOSE(MATCH($X56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56" t="str" cm="1">
        <f t="array" ref="BB56">IFERROR(INDEX(CHOOSE(MATCH($X56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56" t="str" cm="1">
        <f t="array" ref="BC56">IFERROR(INDEX(CHOOSE(MATCH($X56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56" t="str" cm="1">
        <f t="array" ref="BD56">IFERROR(INDEX(CHOOSE(MATCH($X56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56" t="str" cm="1">
        <f t="array" ref="BE56">IFERROR(INDEX(CHOOSE(MATCH($X56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56" t="str" cm="1">
        <f t="array" ref="BF56">IFERROR(INDEX(CHOOSE(MATCH($X56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56" t="str" cm="1">
        <f t="array" ref="BG56">IFERROR(INDEX(CHOOSE(MATCH($X56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56" s="4" t="e">
        <f>AVERAGE(Table2[[#This Row],[11-Mar]:[Column33]])</f>
        <v>#DIV/0!</v>
      </c>
      <c r="BJ56">
        <f>COUNT(Table2[[#This Row],[11-Mar]:[Column33]])</f>
        <v>0</v>
      </c>
    </row>
    <row r="57" spans="1:62" x14ac:dyDescent="0.45">
      <c r="A57" s="1">
        <v>46148</v>
      </c>
      <c r="B57" t="s">
        <v>39</v>
      </c>
      <c r="C57">
        <v>1</v>
      </c>
      <c r="D57" s="37">
        <v>1</v>
      </c>
      <c r="E57" t="s">
        <v>33</v>
      </c>
      <c r="F57">
        <v>3</v>
      </c>
      <c r="H57" t="s">
        <v>85</v>
      </c>
      <c r="I57">
        <v>3</v>
      </c>
      <c r="J57" s="37">
        <v>1</v>
      </c>
      <c r="T57">
        <f t="shared" si="1"/>
        <v>7</v>
      </c>
      <c r="V57" s="37">
        <v>2</v>
      </c>
      <c r="X57" t="s">
        <v>93</v>
      </c>
      <c r="Z57" s="7"/>
      <c r="AA57" s="10" t="e">
        <f>AVERAGE(Table2[[#This Row],[11-Mar]:[Column33]])</f>
        <v>#DIV/0!</v>
      </c>
      <c r="AC57" t="str" cm="1">
        <f t="array" ref="AC57">IFERROR(INDEX(CHOOSE(MATCH($X57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57" t="str" cm="1">
        <f t="array" ref="AD57">IFERROR(INDEX(CHOOSE(MATCH($X57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57" t="str" cm="1">
        <f t="array" ref="AE57">IFERROR(INDEX(CHOOSE(MATCH($X57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57" t="str" cm="1">
        <f t="array" ref="AF57">IFERROR(INDEX(CHOOSE(MATCH($X57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57" t="str" cm="1">
        <f t="array" ref="AG57">IFERROR(INDEX(CHOOSE(MATCH($X57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57" t="str" cm="1">
        <f t="array" ref="AH57">IFERROR(INDEX(CHOOSE(MATCH($X57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57" t="str" cm="1">
        <f t="array" ref="AI57">IFERROR(INDEX(CHOOSE(MATCH($X57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57" t="str" cm="1">
        <f t="array" ref="AJ57">IFERROR(INDEX(CHOOSE(MATCH($X57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57" t="str" cm="1">
        <f t="array" ref="AK57">IFERROR(INDEX(CHOOSE(MATCH($X57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57" t="str" cm="1">
        <f t="array" ref="AL57">IFERROR(INDEX(CHOOSE(MATCH($X57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57" t="str" cm="1">
        <f t="array" ref="AM57">IFERROR(INDEX(CHOOSE(MATCH($X57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57" t="str" cm="1">
        <f t="array" ref="AN57">IFERROR(INDEX(CHOOSE(MATCH($X57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57" t="str" cm="1">
        <f t="array" ref="AO57">IFERROR(INDEX(CHOOSE(MATCH($X57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57" t="str" cm="1">
        <f t="array" ref="AP57">IFERROR(INDEX(CHOOSE(MATCH($X57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57" t="str" cm="1">
        <f t="array" ref="AQ57">IFERROR(INDEX(CHOOSE(MATCH($X57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57" t="str" cm="1">
        <f t="array" ref="AR57">IFERROR(INDEX(CHOOSE(MATCH($X57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57" t="str" cm="1">
        <f t="array" ref="AS57">IFERROR(INDEX(CHOOSE(MATCH($X57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57" t="str" cm="1">
        <f t="array" ref="AT57">IFERROR(INDEX(CHOOSE(MATCH($X57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57" t="str" cm="1">
        <f t="array" ref="AU57">IFERROR(INDEX(CHOOSE(MATCH($X57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57" t="str" cm="1">
        <f t="array" ref="AV57">IFERROR(INDEX(CHOOSE(MATCH($X57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57" t="str" cm="1">
        <f t="array" ref="AW57">IFERROR(INDEX(CHOOSE(MATCH($X57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57" t="str" cm="1">
        <f t="array" ref="AX57">IFERROR(INDEX(CHOOSE(MATCH($X57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57" t="str" cm="1">
        <f t="array" ref="AY57">IFERROR(INDEX(CHOOSE(MATCH($X57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57" t="str" cm="1">
        <f t="array" ref="AZ57">IFERROR(INDEX(CHOOSE(MATCH($X57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57" t="str" cm="1">
        <f t="array" ref="BA57">IFERROR(INDEX(CHOOSE(MATCH($X57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57" t="str" cm="1">
        <f t="array" ref="BB57">IFERROR(INDEX(CHOOSE(MATCH($X57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57" t="str" cm="1">
        <f t="array" ref="BC57">IFERROR(INDEX(CHOOSE(MATCH($X57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57" t="str" cm="1">
        <f t="array" ref="BD57">IFERROR(INDEX(CHOOSE(MATCH($X57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57" t="str" cm="1">
        <f t="array" ref="BE57">IFERROR(INDEX(CHOOSE(MATCH($X57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57" t="str" cm="1">
        <f t="array" ref="BF57">IFERROR(INDEX(CHOOSE(MATCH($X57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57" t="str" cm="1">
        <f t="array" ref="BG57">IFERROR(INDEX(CHOOSE(MATCH($X57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57" s="4" t="e">
        <f>AVERAGE(Table2[[#This Row],[11-Mar]:[Column33]])</f>
        <v>#DIV/0!</v>
      </c>
      <c r="BJ57">
        <f>COUNT(Table2[[#This Row],[11-Mar]:[Column33]])</f>
        <v>0</v>
      </c>
    </row>
    <row r="58" spans="1:62" x14ac:dyDescent="0.45">
      <c r="A58" s="1">
        <v>46148</v>
      </c>
      <c r="B58" t="s">
        <v>29</v>
      </c>
      <c r="E58" t="s">
        <v>30</v>
      </c>
      <c r="F58">
        <v>5</v>
      </c>
      <c r="H58" t="s">
        <v>49</v>
      </c>
      <c r="I58">
        <v>0</v>
      </c>
      <c r="T58">
        <f t="shared" si="1"/>
        <v>5</v>
      </c>
      <c r="X58" t="s">
        <v>74</v>
      </c>
      <c r="Z58" s="6"/>
      <c r="AA58" s="10" t="e">
        <f>AVERAGE(Table2[[#This Row],[11-Mar]:[Column33]])</f>
        <v>#DIV/0!</v>
      </c>
      <c r="AC58" t="str" cm="1">
        <f t="array" ref="AC58">IFERROR(INDEX(CHOOSE(MATCH($X58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58" t="str" cm="1">
        <f t="array" ref="AD58">IFERROR(INDEX(CHOOSE(MATCH($X58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58" t="str" cm="1">
        <f t="array" ref="AE58">IFERROR(INDEX(CHOOSE(MATCH($X58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58" t="str" cm="1">
        <f t="array" ref="AF58">IFERROR(INDEX(CHOOSE(MATCH($X58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58" t="str" cm="1">
        <f t="array" ref="AG58">IFERROR(INDEX(CHOOSE(MATCH($X58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58" t="str" cm="1">
        <f t="array" ref="AH58">IFERROR(INDEX(CHOOSE(MATCH($X58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58" t="str" cm="1">
        <f t="array" ref="AI58">IFERROR(INDEX(CHOOSE(MATCH($X58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58" t="str" cm="1">
        <f t="array" ref="AJ58">IFERROR(INDEX(CHOOSE(MATCH($X58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58" t="str" cm="1">
        <f t="array" ref="AK58">IFERROR(INDEX(CHOOSE(MATCH($X58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58" t="str" cm="1">
        <f t="array" ref="AL58">IFERROR(INDEX(CHOOSE(MATCH($X58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58" t="str" cm="1">
        <f t="array" ref="AM58">IFERROR(INDEX(CHOOSE(MATCH($X58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58" t="str" cm="1">
        <f t="array" ref="AN58">IFERROR(INDEX(CHOOSE(MATCH($X58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58" t="str" cm="1">
        <f t="array" ref="AO58">IFERROR(INDEX(CHOOSE(MATCH($X58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58" t="str" cm="1">
        <f t="array" ref="AP58">IFERROR(INDEX(CHOOSE(MATCH($X58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58" t="str" cm="1">
        <f t="array" ref="AQ58">IFERROR(INDEX(CHOOSE(MATCH($X58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58" t="str" cm="1">
        <f t="array" ref="AR58">IFERROR(INDEX(CHOOSE(MATCH($X58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58" t="str" cm="1">
        <f t="array" ref="AS58">IFERROR(INDEX(CHOOSE(MATCH($X58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58" t="str" cm="1">
        <f t="array" ref="AT58">IFERROR(INDEX(CHOOSE(MATCH($X58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58" t="str" cm="1">
        <f t="array" ref="AU58">IFERROR(INDEX(CHOOSE(MATCH($X58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58" t="str" cm="1">
        <f t="array" ref="AV58">IFERROR(INDEX(CHOOSE(MATCH($X58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58" t="str" cm="1">
        <f t="array" ref="AW58">IFERROR(INDEX(CHOOSE(MATCH($X58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58" t="str" cm="1">
        <f t="array" ref="AX58">IFERROR(INDEX(CHOOSE(MATCH($X58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58" t="str" cm="1">
        <f t="array" ref="AY58">IFERROR(INDEX(CHOOSE(MATCH($X58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58" t="str" cm="1">
        <f t="array" ref="AZ58">IFERROR(INDEX(CHOOSE(MATCH($X58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58" t="str" cm="1">
        <f t="array" ref="BA58">IFERROR(INDEX(CHOOSE(MATCH($X58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58" t="str" cm="1">
        <f t="array" ref="BB58">IFERROR(INDEX(CHOOSE(MATCH($X58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58" t="str" cm="1">
        <f t="array" ref="BC58">IFERROR(INDEX(CHOOSE(MATCH($X58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58" t="str" cm="1">
        <f t="array" ref="BD58">IFERROR(INDEX(CHOOSE(MATCH($X58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58" t="str" cm="1">
        <f t="array" ref="BE58">IFERROR(INDEX(CHOOSE(MATCH($X58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58" t="str" cm="1">
        <f t="array" ref="BF58">IFERROR(INDEX(CHOOSE(MATCH($X58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58" t="str" cm="1">
        <f t="array" ref="BG58">IFERROR(INDEX(CHOOSE(MATCH($X58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58" s="4" t="e">
        <f>AVERAGE(Table2[[#This Row],[11-Mar]:[Column33]])</f>
        <v>#DIV/0!</v>
      </c>
      <c r="BJ58">
        <f>COUNT(Table2[[#This Row],[11-Mar]:[Column33]])</f>
        <v>0</v>
      </c>
    </row>
    <row r="59" spans="1:62" x14ac:dyDescent="0.45">
      <c r="A59" s="1">
        <v>46148</v>
      </c>
      <c r="B59" t="s">
        <v>34</v>
      </c>
      <c r="C59">
        <v>1</v>
      </c>
      <c r="E59" t="s">
        <v>28</v>
      </c>
      <c r="F59">
        <v>0</v>
      </c>
      <c r="H59" t="s">
        <v>104</v>
      </c>
      <c r="I59">
        <v>3</v>
      </c>
      <c r="T59">
        <f t="shared" si="1"/>
        <v>4</v>
      </c>
      <c r="X59" t="s">
        <v>151</v>
      </c>
      <c r="Y59">
        <v>1</v>
      </c>
      <c r="Z59" s="6"/>
      <c r="AA59" s="10">
        <f>AVERAGE(Table2[[#This Row],[11-Mar]:[Column33]])</f>
        <v>2</v>
      </c>
      <c r="AC59" t="str" cm="1">
        <f t="array" ref="AC59">IFERROR(INDEX(CHOOSE(MATCH($X59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59" t="str" cm="1">
        <f t="array" ref="AD59">IFERROR(INDEX(CHOOSE(MATCH($X59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59">
        <v>2</v>
      </c>
      <c r="AF59" t="str" cm="1">
        <f t="array" ref="AF59">IFERROR(INDEX(CHOOSE(MATCH($X59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59" t="str" cm="1">
        <f t="array" ref="AG59">IFERROR(INDEX(CHOOSE(MATCH($X59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59" t="str" cm="1">
        <f t="array" ref="AH59">IFERROR(INDEX(CHOOSE(MATCH($X59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59" t="str" cm="1">
        <f t="array" ref="AI59">IFERROR(INDEX(CHOOSE(MATCH($X59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59" t="str" cm="1">
        <f t="array" ref="AJ59">IFERROR(INDEX(CHOOSE(MATCH($X59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59" t="str" cm="1">
        <f t="array" ref="AK59">IFERROR(INDEX(CHOOSE(MATCH($X59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59" t="str" cm="1">
        <f t="array" ref="AL59">IFERROR(INDEX(CHOOSE(MATCH($X59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59" t="str" cm="1">
        <f t="array" ref="AM59">IFERROR(INDEX(CHOOSE(MATCH($X59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59" t="str" cm="1">
        <f t="array" ref="AN59">IFERROR(INDEX(CHOOSE(MATCH($X59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59" t="str" cm="1">
        <f t="array" ref="AO59">IFERROR(INDEX(CHOOSE(MATCH($X59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59" t="str" cm="1">
        <f t="array" ref="AP59">IFERROR(INDEX(CHOOSE(MATCH($X59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59" t="str" cm="1">
        <f t="array" ref="AQ59">IFERROR(INDEX(CHOOSE(MATCH($X59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59" t="str" cm="1">
        <f t="array" ref="AR59">IFERROR(INDEX(CHOOSE(MATCH($X59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59" t="str" cm="1">
        <f t="array" ref="AS59">IFERROR(INDEX(CHOOSE(MATCH($X59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59" t="str" cm="1">
        <f t="array" ref="AT59">IFERROR(INDEX(CHOOSE(MATCH($X59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59" t="str" cm="1">
        <f t="array" ref="AU59">IFERROR(INDEX(CHOOSE(MATCH($X59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59" t="str" cm="1">
        <f t="array" ref="AV59">IFERROR(INDEX(CHOOSE(MATCH($X59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59" t="str" cm="1">
        <f t="array" ref="AW59">IFERROR(INDEX(CHOOSE(MATCH($X59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59" t="str" cm="1">
        <f t="array" ref="AX59">IFERROR(INDEX(CHOOSE(MATCH($X59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59" t="str" cm="1">
        <f t="array" ref="AY59">IFERROR(INDEX(CHOOSE(MATCH($X59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59" t="str" cm="1">
        <f t="array" ref="AZ59">IFERROR(INDEX(CHOOSE(MATCH($X59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59" t="str" cm="1">
        <f t="array" ref="BA59">IFERROR(INDEX(CHOOSE(MATCH($X59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59" t="str" cm="1">
        <f t="array" ref="BB59">IFERROR(INDEX(CHOOSE(MATCH($X59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59" t="str" cm="1">
        <f t="array" ref="BC59">IFERROR(INDEX(CHOOSE(MATCH($X59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59" t="str" cm="1">
        <f t="array" ref="BD59">IFERROR(INDEX(CHOOSE(MATCH($X59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59" t="str" cm="1">
        <f t="array" ref="BE59">IFERROR(INDEX(CHOOSE(MATCH($X59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59" t="str" cm="1">
        <f t="array" ref="BF59">IFERROR(INDEX(CHOOSE(MATCH($X59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59" t="str" cm="1">
        <f t="array" ref="BG59">IFERROR(INDEX(CHOOSE(MATCH($X59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59" s="4">
        <f>AVERAGE(Table2[[#This Row],[11-Mar]:[Column33]])</f>
        <v>2</v>
      </c>
      <c r="BJ59">
        <f>COUNT(Table2[[#This Row],[11-Mar]:[Column33]])</f>
        <v>1</v>
      </c>
    </row>
    <row r="60" spans="1:62" x14ac:dyDescent="0.45">
      <c r="A60" s="1"/>
      <c r="T60">
        <f t="shared" si="0"/>
        <v>0</v>
      </c>
      <c r="X60" t="s">
        <v>32</v>
      </c>
      <c r="Z60" s="6"/>
      <c r="AA60" s="10">
        <f>AVERAGE(Table2[[#This Row],[11-Mar]:[Column33]])</f>
        <v>3</v>
      </c>
      <c r="AC60" t="str" cm="1">
        <f t="array" ref="AC60">IFERROR(INDEX(CHOOSE(MATCH($X60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60">
        <v>3</v>
      </c>
      <c r="AE60" t="str" cm="1">
        <f t="array" ref="AE60">IFERROR(INDEX(CHOOSE(MATCH($X60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60" t="str" cm="1">
        <f t="array" ref="AF60">IFERROR(INDEX(CHOOSE(MATCH($X60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60" t="str" cm="1">
        <f t="array" ref="AG60">IFERROR(INDEX(CHOOSE(MATCH($X60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60" t="str" cm="1">
        <f t="array" ref="AH60">IFERROR(INDEX(CHOOSE(MATCH($X60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60" t="str" cm="1">
        <f t="array" ref="AI60">IFERROR(INDEX(CHOOSE(MATCH($X60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60" t="str" cm="1">
        <f t="array" ref="AJ60">IFERROR(INDEX(CHOOSE(MATCH($X60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60" t="str" cm="1">
        <f t="array" ref="AK60">IFERROR(INDEX(CHOOSE(MATCH($X60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60" t="str" cm="1">
        <f t="array" ref="AL60">IFERROR(INDEX(CHOOSE(MATCH($X60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60" t="str" cm="1">
        <f t="array" ref="AM60">IFERROR(INDEX(CHOOSE(MATCH($X60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60" t="str" cm="1">
        <f t="array" ref="AN60">IFERROR(INDEX(CHOOSE(MATCH($X60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60" t="str" cm="1">
        <f t="array" ref="AO60">IFERROR(INDEX(CHOOSE(MATCH($X60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60" t="str" cm="1">
        <f t="array" ref="AP60">IFERROR(INDEX(CHOOSE(MATCH($X60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60" t="str" cm="1">
        <f t="array" ref="AQ60">IFERROR(INDEX(CHOOSE(MATCH($X60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60" t="str" cm="1">
        <f t="array" ref="AR60">IFERROR(INDEX(CHOOSE(MATCH($X60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60" t="str" cm="1">
        <f t="array" ref="AS60">IFERROR(INDEX(CHOOSE(MATCH($X60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60" t="str" cm="1">
        <f t="array" ref="AT60">IFERROR(INDEX(CHOOSE(MATCH($X60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60" t="str" cm="1">
        <f t="array" ref="AU60">IFERROR(INDEX(CHOOSE(MATCH($X60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60" t="str" cm="1">
        <f t="array" ref="AV60">IFERROR(INDEX(CHOOSE(MATCH($X60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60" t="str" cm="1">
        <f t="array" ref="AW60">IFERROR(INDEX(CHOOSE(MATCH($X60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60" t="str" cm="1">
        <f t="array" ref="AX60">IFERROR(INDEX(CHOOSE(MATCH($X60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60" t="str" cm="1">
        <f t="array" ref="AY60">IFERROR(INDEX(CHOOSE(MATCH($X60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60" t="str" cm="1">
        <f t="array" ref="AZ60">IFERROR(INDEX(CHOOSE(MATCH($X60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60" t="str" cm="1">
        <f t="array" ref="BA60">IFERROR(INDEX(CHOOSE(MATCH($X60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60" t="str" cm="1">
        <f t="array" ref="BB60">IFERROR(INDEX(CHOOSE(MATCH($X60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60" t="str" cm="1">
        <f t="array" ref="BC60">IFERROR(INDEX(CHOOSE(MATCH($X60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60" t="str" cm="1">
        <f t="array" ref="BD60">IFERROR(INDEX(CHOOSE(MATCH($X60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60" t="str" cm="1">
        <f t="array" ref="BE60">IFERROR(INDEX(CHOOSE(MATCH($X60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60" t="str" cm="1">
        <f t="array" ref="BF60">IFERROR(INDEX(CHOOSE(MATCH($X60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60" t="str" cm="1">
        <f t="array" ref="BG60">IFERROR(INDEX(CHOOSE(MATCH($X60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60" s="4">
        <f>AVERAGE(Table2[[#This Row],[11-Mar]:[Column33]])</f>
        <v>3</v>
      </c>
      <c r="BJ60">
        <f>COUNT(Table2[[#This Row],[11-Mar]:[Column33]])</f>
        <v>1</v>
      </c>
    </row>
    <row r="61" spans="1:62" x14ac:dyDescent="0.45">
      <c r="A61" s="1"/>
      <c r="T61">
        <f t="shared" si="0"/>
        <v>0</v>
      </c>
      <c r="X61" t="s">
        <v>147</v>
      </c>
      <c r="Y61">
        <v>1</v>
      </c>
      <c r="Z61" s="6">
        <v>1</v>
      </c>
      <c r="AA61" s="10">
        <f>AVERAGE(Table2[[#This Row],[11-Mar]:[Column33]])</f>
        <v>0</v>
      </c>
      <c r="AB61">
        <v>2</v>
      </c>
      <c r="AC61" t="str" cm="1">
        <f t="array" ref="AC61">IFERROR(INDEX(CHOOSE(MATCH($X61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61">
        <v>-1</v>
      </c>
      <c r="AE61">
        <v>-1</v>
      </c>
      <c r="AF61">
        <v>-1</v>
      </c>
      <c r="AG61">
        <v>0</v>
      </c>
      <c r="AH61" t="str" cm="1">
        <f t="array" ref="AH61">IFERROR(INDEX(CHOOSE(MATCH($X61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61">
        <v>1</v>
      </c>
      <c r="AJ61" t="str" cm="1">
        <f t="array" ref="AJ61">IFERROR(INDEX(CHOOSE(MATCH($X61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61" t="str" cm="1">
        <f t="array" ref="AK61">IFERROR(INDEX(CHOOSE(MATCH($X61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61" t="str" cm="1">
        <f t="array" ref="AL61">IFERROR(INDEX(CHOOSE(MATCH($X61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61" t="str" cm="1">
        <f t="array" ref="AM61">IFERROR(INDEX(CHOOSE(MATCH($X61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61" t="str" cm="1">
        <f t="array" ref="AN61">IFERROR(INDEX(CHOOSE(MATCH($X61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61" t="str" cm="1">
        <f t="array" ref="AO61">IFERROR(INDEX(CHOOSE(MATCH($X61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61" t="str" cm="1">
        <f t="array" ref="AP61">IFERROR(INDEX(CHOOSE(MATCH($X61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61" t="str" cm="1">
        <f t="array" ref="AQ61">IFERROR(INDEX(CHOOSE(MATCH($X61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61" t="str" cm="1">
        <f t="array" ref="AR61">IFERROR(INDEX(CHOOSE(MATCH($X61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61" t="str" cm="1">
        <f t="array" ref="AS61">IFERROR(INDEX(CHOOSE(MATCH($X61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61" t="str" cm="1">
        <f t="array" ref="AT61">IFERROR(INDEX(CHOOSE(MATCH($X61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61" t="str" cm="1">
        <f t="array" ref="AU61">IFERROR(INDEX(CHOOSE(MATCH($X61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61" t="str" cm="1">
        <f t="array" ref="AV61">IFERROR(INDEX(CHOOSE(MATCH($X61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61" t="str" cm="1">
        <f t="array" ref="AW61">IFERROR(INDEX(CHOOSE(MATCH($X61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61" t="str" cm="1">
        <f t="array" ref="AX61">IFERROR(INDEX(CHOOSE(MATCH($X61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61" t="str" cm="1">
        <f t="array" ref="AY61">IFERROR(INDEX(CHOOSE(MATCH($X61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61" t="str" cm="1">
        <f t="array" ref="AZ61">IFERROR(INDEX(CHOOSE(MATCH($X61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61" t="str" cm="1">
        <f t="array" ref="BA61">IFERROR(INDEX(CHOOSE(MATCH($X61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61" t="str" cm="1">
        <f t="array" ref="BB61">IFERROR(INDEX(CHOOSE(MATCH($X61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61" t="str" cm="1">
        <f t="array" ref="BC61">IFERROR(INDEX(CHOOSE(MATCH($X61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61" t="str" cm="1">
        <f t="array" ref="BD61">IFERROR(INDEX(CHOOSE(MATCH($X61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61" t="str" cm="1">
        <f t="array" ref="BE61">IFERROR(INDEX(CHOOSE(MATCH($X61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61" t="str" cm="1">
        <f t="array" ref="BF61">IFERROR(INDEX(CHOOSE(MATCH($X61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61" t="str" cm="1">
        <f t="array" ref="BG61">IFERROR(INDEX(CHOOSE(MATCH($X61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61" s="4">
        <f>AVERAGE(Table2[[#This Row],[11-Mar]:[Column33]])</f>
        <v>0</v>
      </c>
      <c r="BJ61">
        <f>COUNT(Table2[[#This Row],[11-Mar]:[Column33]])</f>
        <v>6</v>
      </c>
    </row>
    <row r="62" spans="1:62" x14ac:dyDescent="0.45">
      <c r="A62" s="1"/>
      <c r="T62">
        <f t="shared" si="0"/>
        <v>0</v>
      </c>
      <c r="X62" t="s">
        <v>94</v>
      </c>
      <c r="Z62" s="6"/>
      <c r="AA62" s="10" t="e">
        <f>AVERAGE(Table2[[#This Row],[11-Mar]:[Column33]])</f>
        <v>#DIV/0!</v>
      </c>
      <c r="AC62" t="str" cm="1">
        <f t="array" ref="AC62">IFERROR(INDEX(CHOOSE(MATCH($X62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62" t="str" cm="1">
        <f t="array" ref="AD62">IFERROR(INDEX(CHOOSE(MATCH($X62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62" t="str" cm="1">
        <f t="array" ref="AE62">IFERROR(INDEX(CHOOSE(MATCH($X62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62" t="str" cm="1">
        <f t="array" ref="AF62">IFERROR(INDEX(CHOOSE(MATCH($X62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62" t="str" cm="1">
        <f t="array" ref="AG62">IFERROR(INDEX(CHOOSE(MATCH($X62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62" t="str" cm="1">
        <f t="array" ref="AH62">IFERROR(INDEX(CHOOSE(MATCH($X62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62" t="str" cm="1">
        <f t="array" ref="AI62">IFERROR(INDEX(CHOOSE(MATCH($X62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62" t="str" cm="1">
        <f t="array" ref="AJ62">IFERROR(INDEX(CHOOSE(MATCH($X62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62" t="str" cm="1">
        <f t="array" ref="AK62">IFERROR(INDEX(CHOOSE(MATCH($X62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62" t="str" cm="1">
        <f t="array" ref="AL62">IFERROR(INDEX(CHOOSE(MATCH($X62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62" t="str" cm="1">
        <f t="array" ref="AM62">IFERROR(INDEX(CHOOSE(MATCH($X62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62" t="str" cm="1">
        <f t="array" ref="AN62">IFERROR(INDEX(CHOOSE(MATCH($X62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62" t="str" cm="1">
        <f t="array" ref="AO62">IFERROR(INDEX(CHOOSE(MATCH($X62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62" t="str" cm="1">
        <f t="array" ref="AP62">IFERROR(INDEX(CHOOSE(MATCH($X62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62" t="str" cm="1">
        <f t="array" ref="AQ62">IFERROR(INDEX(CHOOSE(MATCH($X62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62" t="str" cm="1">
        <f t="array" ref="AR62">IFERROR(INDEX(CHOOSE(MATCH($X62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62" t="str" cm="1">
        <f t="array" ref="AS62">IFERROR(INDEX(CHOOSE(MATCH($X62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62" t="str" cm="1">
        <f t="array" ref="AT62">IFERROR(INDEX(CHOOSE(MATCH($X62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62" t="str" cm="1">
        <f t="array" ref="AU62">IFERROR(INDEX(CHOOSE(MATCH($X62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62" t="str" cm="1">
        <f t="array" ref="AV62">IFERROR(INDEX(CHOOSE(MATCH($X62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62" t="str" cm="1">
        <f t="array" ref="AW62">IFERROR(INDEX(CHOOSE(MATCH($X62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62" t="str" cm="1">
        <f t="array" ref="AX62">IFERROR(INDEX(CHOOSE(MATCH($X62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62" t="str" cm="1">
        <f t="array" ref="AY62">IFERROR(INDEX(CHOOSE(MATCH($X62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62" t="str" cm="1">
        <f t="array" ref="AZ62">IFERROR(INDEX(CHOOSE(MATCH($X62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62" t="str" cm="1">
        <f t="array" ref="BA62">IFERROR(INDEX(CHOOSE(MATCH($X62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62" t="str" cm="1">
        <f t="array" ref="BB62">IFERROR(INDEX(CHOOSE(MATCH($X62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62" t="str" cm="1">
        <f t="array" ref="BC62">IFERROR(INDEX(CHOOSE(MATCH($X62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62" t="str" cm="1">
        <f t="array" ref="BD62">IFERROR(INDEX(CHOOSE(MATCH($X62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62" t="str" cm="1">
        <f t="array" ref="BE62">IFERROR(INDEX(CHOOSE(MATCH($X62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62" t="str" cm="1">
        <f t="array" ref="BF62">IFERROR(INDEX(CHOOSE(MATCH($X62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62" t="str" cm="1">
        <f t="array" ref="BG62">IFERROR(INDEX(CHOOSE(MATCH($X62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62" s="4" t="e">
        <f>AVERAGE(Table2[[#This Row],[11-Mar]:[Column33]])</f>
        <v>#DIV/0!</v>
      </c>
      <c r="BJ62">
        <f>COUNT(Table2[[#This Row],[11-Mar]:[Column33]])</f>
        <v>0</v>
      </c>
    </row>
    <row r="63" spans="1:62" x14ac:dyDescent="0.45">
      <c r="A63" s="1"/>
      <c r="T63">
        <f t="shared" si="0"/>
        <v>0</v>
      </c>
      <c r="X63" t="s">
        <v>107</v>
      </c>
      <c r="Z63" s="6"/>
      <c r="AA63" s="10" t="e">
        <f>AVERAGE(Table2[[#This Row],[11-Mar]:[Column33]])</f>
        <v>#DIV/0!</v>
      </c>
      <c r="AC63" t="str" cm="1">
        <f t="array" ref="AC63">IFERROR(INDEX(CHOOSE(MATCH($X63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63" t="str" cm="1">
        <f t="array" ref="AD63">IFERROR(INDEX(CHOOSE(MATCH($X63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63" t="str" cm="1">
        <f t="array" ref="AE63">IFERROR(INDEX(CHOOSE(MATCH($X63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63" t="str" cm="1">
        <f t="array" ref="AF63">IFERROR(INDEX(CHOOSE(MATCH($X63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63" t="str" cm="1">
        <f t="array" ref="AG63">IFERROR(INDEX(CHOOSE(MATCH($X63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63" t="str" cm="1">
        <f t="array" ref="AH63">IFERROR(INDEX(CHOOSE(MATCH($X63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63" t="str" cm="1">
        <f t="array" ref="AI63">IFERROR(INDEX(CHOOSE(MATCH($X63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63" t="str" cm="1">
        <f t="array" ref="AJ63">IFERROR(INDEX(CHOOSE(MATCH($X63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63" t="str" cm="1">
        <f t="array" ref="AK63">IFERROR(INDEX(CHOOSE(MATCH($X63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63" t="str" cm="1">
        <f t="array" ref="AL63">IFERROR(INDEX(CHOOSE(MATCH($X63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63" t="str" cm="1">
        <f t="array" ref="AM63">IFERROR(INDEX(CHOOSE(MATCH($X63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63" t="str" cm="1">
        <f t="array" ref="AN63">IFERROR(INDEX(CHOOSE(MATCH($X63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63" t="str" cm="1">
        <f t="array" ref="AO63">IFERROR(INDEX(CHOOSE(MATCH($X63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63" t="str" cm="1">
        <f t="array" ref="AP63">IFERROR(INDEX(CHOOSE(MATCH($X63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63" t="str" cm="1">
        <f t="array" ref="AQ63">IFERROR(INDEX(CHOOSE(MATCH($X63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63" t="str" cm="1">
        <f t="array" ref="AR63">IFERROR(INDEX(CHOOSE(MATCH($X63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63" t="str" cm="1">
        <f t="array" ref="AS63">IFERROR(INDEX(CHOOSE(MATCH($X63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63" t="str" cm="1">
        <f t="array" ref="AT63">IFERROR(INDEX(CHOOSE(MATCH($X63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63" t="str" cm="1">
        <f t="array" ref="AU63">IFERROR(INDEX(CHOOSE(MATCH($X63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63" t="str" cm="1">
        <f t="array" ref="AV63">IFERROR(INDEX(CHOOSE(MATCH($X63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63" t="str" cm="1">
        <f t="array" ref="AW63">IFERROR(INDEX(CHOOSE(MATCH($X63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63" t="str" cm="1">
        <f t="array" ref="AX63">IFERROR(INDEX(CHOOSE(MATCH($X63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63" t="str" cm="1">
        <f t="array" ref="AY63">IFERROR(INDEX(CHOOSE(MATCH($X63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63" t="str" cm="1">
        <f t="array" ref="AZ63">IFERROR(INDEX(CHOOSE(MATCH($X63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63" t="str" cm="1">
        <f t="array" ref="BA63">IFERROR(INDEX(CHOOSE(MATCH($X63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63" t="str" cm="1">
        <f t="array" ref="BB63">IFERROR(INDEX(CHOOSE(MATCH($X63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63" t="str" cm="1">
        <f t="array" ref="BC63">IFERROR(INDEX(CHOOSE(MATCH($X63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63" t="str" cm="1">
        <f t="array" ref="BD63">IFERROR(INDEX(CHOOSE(MATCH($X63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63" t="str" cm="1">
        <f t="array" ref="BE63">IFERROR(INDEX(CHOOSE(MATCH($X63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63" t="str" cm="1">
        <f t="array" ref="BF63">IFERROR(INDEX(CHOOSE(MATCH($X63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63" t="str" cm="1">
        <f t="array" ref="BG63">IFERROR(INDEX(CHOOSE(MATCH($X63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63" s="4" t="e">
        <f>AVERAGE(Table2[[#This Row],[11-Mar]:[Column33]])</f>
        <v>#DIV/0!</v>
      </c>
      <c r="BJ63">
        <f>COUNT(Table2[[#This Row],[11-Mar]:[Column33]])</f>
        <v>0</v>
      </c>
    </row>
    <row r="64" spans="1:62" x14ac:dyDescent="0.45">
      <c r="A64" s="1"/>
      <c r="T64">
        <f t="shared" si="0"/>
        <v>0</v>
      </c>
      <c r="X64" t="s">
        <v>36</v>
      </c>
      <c r="Z64" s="6">
        <v>1</v>
      </c>
      <c r="AA64" s="10">
        <f>AVERAGE(Table2[[#This Row],[11-Mar]:[Column33]])</f>
        <v>2.625</v>
      </c>
      <c r="AB64">
        <v>4</v>
      </c>
      <c r="AC64">
        <v>3</v>
      </c>
      <c r="AD64">
        <v>3</v>
      </c>
      <c r="AE64">
        <v>2</v>
      </c>
      <c r="AF64">
        <v>5</v>
      </c>
      <c r="AG64">
        <v>2</v>
      </c>
      <c r="AH64">
        <v>4</v>
      </c>
      <c r="AI64" t="str" cm="1">
        <f t="array" ref="AI64">IFERROR(INDEX(CHOOSE(MATCH($X64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64">
        <v>-2</v>
      </c>
      <c r="AK64" t="str" cm="1">
        <f t="array" ref="AK64">IFERROR(INDEX(CHOOSE(MATCH($X64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64" t="str" cm="1">
        <f t="array" ref="AL64">IFERROR(INDEX(CHOOSE(MATCH($X64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64" t="str" cm="1">
        <f t="array" ref="AM64">IFERROR(INDEX(CHOOSE(MATCH($X64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64" t="str" cm="1">
        <f t="array" ref="AN64">IFERROR(INDEX(CHOOSE(MATCH($X64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64" t="str" cm="1">
        <f t="array" ref="AO64">IFERROR(INDEX(CHOOSE(MATCH($X64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64" t="str" cm="1">
        <f t="array" ref="AP64">IFERROR(INDEX(CHOOSE(MATCH($X64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64" t="str" cm="1">
        <f t="array" ref="AQ64">IFERROR(INDEX(CHOOSE(MATCH($X64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64" t="str" cm="1">
        <f t="array" ref="AR64">IFERROR(INDEX(CHOOSE(MATCH($X64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64" t="str" cm="1">
        <f t="array" ref="AS64">IFERROR(INDEX(CHOOSE(MATCH($X64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64" t="str" cm="1">
        <f t="array" ref="AT64">IFERROR(INDEX(CHOOSE(MATCH($X64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64" t="str" cm="1">
        <f t="array" ref="AU64">IFERROR(INDEX(CHOOSE(MATCH($X64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64" t="str" cm="1">
        <f t="array" ref="AV64">IFERROR(INDEX(CHOOSE(MATCH($X64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64" t="str" cm="1">
        <f t="array" ref="AW64">IFERROR(INDEX(CHOOSE(MATCH($X64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64" t="str" cm="1">
        <f t="array" ref="AX64">IFERROR(INDEX(CHOOSE(MATCH($X64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64" t="str" cm="1">
        <f t="array" ref="AY64">IFERROR(INDEX(CHOOSE(MATCH($X64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64" t="str" cm="1">
        <f t="array" ref="AZ64">IFERROR(INDEX(CHOOSE(MATCH($X64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64" t="str" cm="1">
        <f t="array" ref="BA64">IFERROR(INDEX(CHOOSE(MATCH($X64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64" t="str" cm="1">
        <f t="array" ref="BB64">IFERROR(INDEX(CHOOSE(MATCH($X64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64" t="str" cm="1">
        <f t="array" ref="BC64">IFERROR(INDEX(CHOOSE(MATCH($X64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64" t="str" cm="1">
        <f t="array" ref="BD64">IFERROR(INDEX(CHOOSE(MATCH($X64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64" t="str" cm="1">
        <f t="array" ref="BE64">IFERROR(INDEX(CHOOSE(MATCH($X64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64" t="str" cm="1">
        <f t="array" ref="BF64">IFERROR(INDEX(CHOOSE(MATCH($X64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64" t="str" cm="1">
        <f t="array" ref="BG64">IFERROR(INDEX(CHOOSE(MATCH($X64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64" s="4">
        <f>AVERAGE(Table2[[#This Row],[11-Mar]:[Column33]])</f>
        <v>2.625</v>
      </c>
      <c r="BJ64">
        <f>COUNT(Table2[[#This Row],[11-Mar]:[Column33]])</f>
        <v>8</v>
      </c>
    </row>
    <row r="65" spans="1:62" x14ac:dyDescent="0.45">
      <c r="A65" s="1"/>
      <c r="T65">
        <f t="shared" si="0"/>
        <v>0</v>
      </c>
      <c r="X65" t="s">
        <v>103</v>
      </c>
      <c r="Z65" s="6"/>
      <c r="AA65" s="10" t="e">
        <f>AVERAGE(Table2[[#This Row],[11-Mar]:[Column33]])</f>
        <v>#DIV/0!</v>
      </c>
      <c r="AC65" t="str" cm="1">
        <f t="array" ref="AC65">IFERROR(INDEX(CHOOSE(MATCH($X65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65" t="str" cm="1">
        <f t="array" ref="AD65">IFERROR(INDEX(CHOOSE(MATCH($X65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65" t="str" cm="1">
        <f t="array" ref="AE65">IFERROR(INDEX(CHOOSE(MATCH($X65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65" t="str" cm="1">
        <f t="array" ref="AF65">IFERROR(INDEX(CHOOSE(MATCH($X65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65" t="str" cm="1">
        <f t="array" ref="AG65">IFERROR(INDEX(CHOOSE(MATCH($X65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65" t="str" cm="1">
        <f t="array" ref="AH65">IFERROR(INDEX(CHOOSE(MATCH($X65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65" t="str" cm="1">
        <f t="array" ref="AI65">IFERROR(INDEX(CHOOSE(MATCH($X65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65" t="str" cm="1">
        <f t="array" ref="AJ65">IFERROR(INDEX(CHOOSE(MATCH($X65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65" t="str" cm="1">
        <f t="array" ref="AK65">IFERROR(INDEX(CHOOSE(MATCH($X65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65" t="str" cm="1">
        <f t="array" ref="AL65">IFERROR(INDEX(CHOOSE(MATCH($X65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65" t="str" cm="1">
        <f t="array" ref="AM65">IFERROR(INDEX(CHOOSE(MATCH($X65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65" t="str" cm="1">
        <f t="array" ref="AN65">IFERROR(INDEX(CHOOSE(MATCH($X65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65" t="str" cm="1">
        <f t="array" ref="AO65">IFERROR(INDEX(CHOOSE(MATCH($X65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65" t="str" cm="1">
        <f t="array" ref="AP65">IFERROR(INDEX(CHOOSE(MATCH($X65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65" t="str" cm="1">
        <f t="array" ref="AQ65">IFERROR(INDEX(CHOOSE(MATCH($X65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65" t="str" cm="1">
        <f t="array" ref="AR65">IFERROR(INDEX(CHOOSE(MATCH($X65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65" t="str" cm="1">
        <f t="array" ref="AS65">IFERROR(INDEX(CHOOSE(MATCH($X65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65" t="str" cm="1">
        <f t="array" ref="AT65">IFERROR(INDEX(CHOOSE(MATCH($X65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65" t="str" cm="1">
        <f t="array" ref="AU65">IFERROR(INDEX(CHOOSE(MATCH($X65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65" t="str" cm="1">
        <f t="array" ref="AV65">IFERROR(INDEX(CHOOSE(MATCH($X65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65" t="str" cm="1">
        <f t="array" ref="AW65">IFERROR(INDEX(CHOOSE(MATCH($X65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65" t="str" cm="1">
        <f t="array" ref="AX65">IFERROR(INDEX(CHOOSE(MATCH($X65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65" t="str" cm="1">
        <f t="array" ref="AY65">IFERROR(INDEX(CHOOSE(MATCH($X65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65" t="str" cm="1">
        <f t="array" ref="AZ65">IFERROR(INDEX(CHOOSE(MATCH($X65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65" t="str" cm="1">
        <f t="array" ref="BA65">IFERROR(INDEX(CHOOSE(MATCH($X65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65" t="str" cm="1">
        <f t="array" ref="BB65">IFERROR(INDEX(CHOOSE(MATCH($X65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65" t="str" cm="1">
        <f t="array" ref="BC65">IFERROR(INDEX(CHOOSE(MATCH($X65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65" t="str" cm="1">
        <f t="array" ref="BD65">IFERROR(INDEX(CHOOSE(MATCH($X65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65" t="str" cm="1">
        <f t="array" ref="BE65">IFERROR(INDEX(CHOOSE(MATCH($X65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65" t="str" cm="1">
        <f t="array" ref="BF65">IFERROR(INDEX(CHOOSE(MATCH($X65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65" t="str" cm="1">
        <f t="array" ref="BG65">IFERROR(INDEX(CHOOSE(MATCH($X65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65" s="4" t="e">
        <f>AVERAGE(Table2[[#This Row],[11-Mar]:[Column33]])</f>
        <v>#DIV/0!</v>
      </c>
      <c r="BJ65">
        <f>COUNT(Table2[[#This Row],[11-Mar]:[Column33]])</f>
        <v>0</v>
      </c>
    </row>
    <row r="66" spans="1:62" x14ac:dyDescent="0.45">
      <c r="A66" s="1"/>
      <c r="T66">
        <f t="shared" si="0"/>
        <v>0</v>
      </c>
      <c r="X66" t="s">
        <v>49</v>
      </c>
      <c r="Z66" s="6"/>
      <c r="AA66" s="10">
        <f>AVERAGE(Table2[[#This Row],[11-Mar]:[Column33]])</f>
        <v>1.3333333333333333</v>
      </c>
      <c r="AC66" t="str" cm="1">
        <f t="array" ref="AC66">IFERROR(INDEX(CHOOSE(MATCH($X66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66">
        <v>2</v>
      </c>
      <c r="AE66" t="str" cm="1">
        <f t="array" ref="AE66">IFERROR(INDEX(CHOOSE(MATCH($X66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66">
        <v>2</v>
      </c>
      <c r="AG66" t="str" cm="1">
        <f t="array" ref="AG66">IFERROR(INDEX(CHOOSE(MATCH($X66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66" t="str" cm="1">
        <f t="array" ref="AH66">IFERROR(INDEX(CHOOSE(MATCH($X66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66" t="str" cm="1">
        <f t="array" ref="AI66">IFERROR(INDEX(CHOOSE(MATCH($X66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66">
        <v>0</v>
      </c>
      <c r="AK66" t="str" cm="1">
        <f t="array" ref="AK66">IFERROR(INDEX(CHOOSE(MATCH($X66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66" t="str" cm="1">
        <f t="array" ref="AL66">IFERROR(INDEX(CHOOSE(MATCH($X66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66" t="str" cm="1">
        <f t="array" ref="AM66">IFERROR(INDEX(CHOOSE(MATCH($X66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66" t="str" cm="1">
        <f t="array" ref="AN66">IFERROR(INDEX(CHOOSE(MATCH($X66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66" t="str" cm="1">
        <f t="array" ref="AO66">IFERROR(INDEX(CHOOSE(MATCH($X66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66" t="str" cm="1">
        <f t="array" ref="AP66">IFERROR(INDEX(CHOOSE(MATCH($X66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66" t="str" cm="1">
        <f t="array" ref="AQ66">IFERROR(INDEX(CHOOSE(MATCH($X66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66" t="str" cm="1">
        <f t="array" ref="AR66">IFERROR(INDEX(CHOOSE(MATCH($X66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66" t="str" cm="1">
        <f t="array" ref="AS66">IFERROR(INDEX(CHOOSE(MATCH($X66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66" t="str" cm="1">
        <f t="array" ref="AT66">IFERROR(INDEX(CHOOSE(MATCH($X66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66" t="str" cm="1">
        <f t="array" ref="AU66">IFERROR(INDEX(CHOOSE(MATCH($X66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66" t="str" cm="1">
        <f t="array" ref="AV66">IFERROR(INDEX(CHOOSE(MATCH($X66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66" t="str" cm="1">
        <f t="array" ref="AW66">IFERROR(INDEX(CHOOSE(MATCH($X66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66" t="str" cm="1">
        <f t="array" ref="AX66">IFERROR(INDEX(CHOOSE(MATCH($X66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66" t="str" cm="1">
        <f t="array" ref="AY66">IFERROR(INDEX(CHOOSE(MATCH($X66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66" t="str" cm="1">
        <f t="array" ref="AZ66">IFERROR(INDEX(CHOOSE(MATCH($X66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66" t="str" cm="1">
        <f t="array" ref="BA66">IFERROR(INDEX(CHOOSE(MATCH($X66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66" t="str" cm="1">
        <f t="array" ref="BB66">IFERROR(INDEX(CHOOSE(MATCH($X66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66" t="str" cm="1">
        <f t="array" ref="BC66">IFERROR(INDEX(CHOOSE(MATCH($X66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66" t="str" cm="1">
        <f t="array" ref="BD66">IFERROR(INDEX(CHOOSE(MATCH($X66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66" t="str" cm="1">
        <f t="array" ref="BE66">IFERROR(INDEX(CHOOSE(MATCH($X66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66" t="str" cm="1">
        <f t="array" ref="BF66">IFERROR(INDEX(CHOOSE(MATCH($X66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66" t="str" cm="1">
        <f t="array" ref="BG66">IFERROR(INDEX(CHOOSE(MATCH($X66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66" s="4">
        <f>AVERAGE(Table2[[#This Row],[11-Mar]:[Column33]])</f>
        <v>1.3333333333333333</v>
      </c>
      <c r="BJ66">
        <f>COUNT(Table2[[#This Row],[11-Mar]:[Column33]])</f>
        <v>3</v>
      </c>
    </row>
    <row r="67" spans="1:62" x14ac:dyDescent="0.45">
      <c r="A67" s="1"/>
      <c r="T67">
        <f t="shared" ref="T67:T130" si="2">SUM(C67,F67,I67,L67,O67,R67)</f>
        <v>0</v>
      </c>
      <c r="X67" t="s">
        <v>29</v>
      </c>
      <c r="Z67" s="6">
        <v>1</v>
      </c>
      <c r="AA67" s="10">
        <f>AVERAGE(Table2[[#This Row],[11-Mar]:[Column33]])</f>
        <v>2.125</v>
      </c>
      <c r="AB67">
        <v>-1</v>
      </c>
      <c r="AC67" t="str" cm="1">
        <f t="array" ref="AC67">IFERROR(INDEX(CHOOSE(MATCH($X67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67">
        <v>6</v>
      </c>
      <c r="AE67">
        <v>4</v>
      </c>
      <c r="AF67">
        <v>1</v>
      </c>
      <c r="AG67">
        <v>2</v>
      </c>
      <c r="AH67">
        <v>3</v>
      </c>
      <c r="AI67">
        <v>2</v>
      </c>
      <c r="AJ67">
        <v>0</v>
      </c>
      <c r="AK67" t="str" cm="1">
        <f t="array" ref="AK67">IFERROR(INDEX(CHOOSE(MATCH($X67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67" t="str" cm="1">
        <f t="array" ref="AL67">IFERROR(INDEX(CHOOSE(MATCH($X67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67" t="str" cm="1">
        <f t="array" ref="AM67">IFERROR(INDEX(CHOOSE(MATCH($X67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67" t="str" cm="1">
        <f t="array" ref="AN67">IFERROR(INDEX(CHOOSE(MATCH($X67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67" t="str" cm="1">
        <f t="array" ref="AO67">IFERROR(INDEX(CHOOSE(MATCH($X67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67" t="str" cm="1">
        <f t="array" ref="AP67">IFERROR(INDEX(CHOOSE(MATCH($X67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67" t="str" cm="1">
        <f t="array" ref="AQ67">IFERROR(INDEX(CHOOSE(MATCH($X67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67" t="str" cm="1">
        <f t="array" ref="AR67">IFERROR(INDEX(CHOOSE(MATCH($X67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67" t="str" cm="1">
        <f t="array" ref="AS67">IFERROR(INDEX(CHOOSE(MATCH($X67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67" t="str" cm="1">
        <f t="array" ref="AT67">IFERROR(INDEX(CHOOSE(MATCH($X67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67" t="str" cm="1">
        <f t="array" ref="AU67">IFERROR(INDEX(CHOOSE(MATCH($X67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67" t="str" cm="1">
        <f t="array" ref="AV67">IFERROR(INDEX(CHOOSE(MATCH($X67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67" t="str" cm="1">
        <f t="array" ref="AW67">IFERROR(INDEX(CHOOSE(MATCH($X67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67" t="str" cm="1">
        <f t="array" ref="AX67">IFERROR(INDEX(CHOOSE(MATCH($X67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67" t="str" cm="1">
        <f t="array" ref="AY67">IFERROR(INDEX(CHOOSE(MATCH($X67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67" t="str" cm="1">
        <f t="array" ref="AZ67">IFERROR(INDEX(CHOOSE(MATCH($X67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67" t="str" cm="1">
        <f t="array" ref="BA67">IFERROR(INDEX(CHOOSE(MATCH($X67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67" t="str" cm="1">
        <f t="array" ref="BB67">IFERROR(INDEX(CHOOSE(MATCH($X67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67" t="str" cm="1">
        <f t="array" ref="BC67">IFERROR(INDEX(CHOOSE(MATCH($X67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67" t="str" cm="1">
        <f t="array" ref="BD67">IFERROR(INDEX(CHOOSE(MATCH($X67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67" t="str" cm="1">
        <f t="array" ref="BE67">IFERROR(INDEX(CHOOSE(MATCH($X67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67" t="str" cm="1">
        <f t="array" ref="BF67">IFERROR(INDEX(CHOOSE(MATCH($X67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67" t="str" cm="1">
        <f t="array" ref="BG67">IFERROR(INDEX(CHOOSE(MATCH($X67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67" s="4">
        <f>AVERAGE(Table2[[#This Row],[11-Mar]:[Column33]])</f>
        <v>2.125</v>
      </c>
      <c r="BJ67">
        <f>COUNT(Table2[[#This Row],[11-Mar]:[Column33]])</f>
        <v>8</v>
      </c>
    </row>
    <row r="68" spans="1:62" x14ac:dyDescent="0.45">
      <c r="A68" s="1"/>
      <c r="T68">
        <f t="shared" si="2"/>
        <v>0</v>
      </c>
      <c r="X68" t="s">
        <v>50</v>
      </c>
      <c r="Z68" s="6"/>
      <c r="AA68" s="10">
        <f>AVERAGE(Table2[[#This Row],[11-Mar]:[Column33]])</f>
        <v>3</v>
      </c>
      <c r="AB68">
        <v>6</v>
      </c>
      <c r="AC68" t="str" cm="1">
        <f t="array" ref="AC68">IFERROR(INDEX(CHOOSE(MATCH($X68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68">
        <v>3</v>
      </c>
      <c r="AE68">
        <v>1</v>
      </c>
      <c r="AF68">
        <v>2</v>
      </c>
      <c r="AG68" t="str" cm="1">
        <f t="array" ref="AG68">IFERROR(INDEX(CHOOSE(MATCH($X68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68" t="str" cm="1">
        <f t="array" ref="AH68">IFERROR(INDEX(CHOOSE(MATCH($X68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68" t="str" cm="1">
        <f t="array" ref="AI68">IFERROR(INDEX(CHOOSE(MATCH($X68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68">
        <v>3</v>
      </c>
      <c r="AK68" t="str" cm="1">
        <f t="array" ref="AK68">IFERROR(INDEX(CHOOSE(MATCH($X68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68" t="str" cm="1">
        <f t="array" ref="AL68">IFERROR(INDEX(CHOOSE(MATCH($X68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68" t="str" cm="1">
        <f t="array" ref="AM68">IFERROR(INDEX(CHOOSE(MATCH($X68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68" t="str" cm="1">
        <f t="array" ref="AN68">IFERROR(INDEX(CHOOSE(MATCH($X68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68" t="str" cm="1">
        <f t="array" ref="AO68">IFERROR(INDEX(CHOOSE(MATCH($X68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68" t="str" cm="1">
        <f t="array" ref="AP68">IFERROR(INDEX(CHOOSE(MATCH($X68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68" t="str" cm="1">
        <f t="array" ref="AQ68">IFERROR(INDEX(CHOOSE(MATCH($X68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68" t="str" cm="1">
        <f t="array" ref="AR68">IFERROR(INDEX(CHOOSE(MATCH($X68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68" t="str" cm="1">
        <f t="array" ref="AS68">IFERROR(INDEX(CHOOSE(MATCH($X68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68" t="str" cm="1">
        <f t="array" ref="AT68">IFERROR(INDEX(CHOOSE(MATCH($X68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68" t="str" cm="1">
        <f t="array" ref="AU68">IFERROR(INDEX(CHOOSE(MATCH($X68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68" t="str" cm="1">
        <f t="array" ref="AV68">IFERROR(INDEX(CHOOSE(MATCH($X68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68" t="str" cm="1">
        <f t="array" ref="AW68">IFERROR(INDEX(CHOOSE(MATCH($X68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68" t="str" cm="1">
        <f t="array" ref="AX68">IFERROR(INDEX(CHOOSE(MATCH($X68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68" t="str" cm="1">
        <f t="array" ref="AY68">IFERROR(INDEX(CHOOSE(MATCH($X68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68" t="str" cm="1">
        <f t="array" ref="AZ68">IFERROR(INDEX(CHOOSE(MATCH($X68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68" t="str" cm="1">
        <f t="array" ref="BA68">IFERROR(INDEX(CHOOSE(MATCH($X68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68" t="str" cm="1">
        <f t="array" ref="BB68">IFERROR(INDEX(CHOOSE(MATCH($X68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68" t="str" cm="1">
        <f t="array" ref="BC68">IFERROR(INDEX(CHOOSE(MATCH($X68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68" t="str" cm="1">
        <f t="array" ref="BD68">IFERROR(INDEX(CHOOSE(MATCH($X68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68" t="str" cm="1">
        <f t="array" ref="BE68">IFERROR(INDEX(CHOOSE(MATCH($X68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68" t="str" cm="1">
        <f t="array" ref="BF68">IFERROR(INDEX(CHOOSE(MATCH($X68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68" t="str" cm="1">
        <f t="array" ref="BG68">IFERROR(INDEX(CHOOSE(MATCH($X68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68" s="4">
        <f>AVERAGE(Table2[[#This Row],[11-Mar]:[Column33]])</f>
        <v>3</v>
      </c>
      <c r="BJ68">
        <f>COUNT(Table2[[#This Row],[11-Mar]:[Column33]])</f>
        <v>5</v>
      </c>
    </row>
    <row r="69" spans="1:62" x14ac:dyDescent="0.45">
      <c r="A69" s="1"/>
      <c r="T69">
        <f t="shared" si="2"/>
        <v>0</v>
      </c>
      <c r="X69" t="s">
        <v>47</v>
      </c>
      <c r="Z69" s="6"/>
      <c r="AA69" s="10" t="e">
        <f>AVERAGE(Table2[[#This Row],[11-Mar]:[Column33]])</f>
        <v>#DIV/0!</v>
      </c>
      <c r="AC69" t="str" cm="1">
        <f t="array" ref="AC69">IFERROR(INDEX(CHOOSE(MATCH($X69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69" t="str" cm="1">
        <f t="array" ref="AD69">IFERROR(INDEX(CHOOSE(MATCH($X69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69" t="str" cm="1">
        <f t="array" ref="AE69">IFERROR(INDEX(CHOOSE(MATCH($X69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69" t="str" cm="1">
        <f t="array" ref="AF69">IFERROR(INDEX(CHOOSE(MATCH($X69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69" t="str" cm="1">
        <f t="array" ref="AG69">IFERROR(INDEX(CHOOSE(MATCH($X69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69" t="str" cm="1">
        <f t="array" ref="AH69">IFERROR(INDEX(CHOOSE(MATCH($X69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69" t="str" cm="1">
        <f t="array" ref="AI69">IFERROR(INDEX(CHOOSE(MATCH($X69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69" t="str" cm="1">
        <f t="array" ref="AJ69">IFERROR(INDEX(CHOOSE(MATCH($X69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69" t="str" cm="1">
        <f t="array" ref="AK69">IFERROR(INDEX(CHOOSE(MATCH($X69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69" t="str" cm="1">
        <f t="array" ref="AL69">IFERROR(INDEX(CHOOSE(MATCH($X69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69" t="str" cm="1">
        <f t="array" ref="AM69">IFERROR(INDEX(CHOOSE(MATCH($X69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69" t="str" cm="1">
        <f t="array" ref="AN69">IFERROR(INDEX(CHOOSE(MATCH($X69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69" t="str" cm="1">
        <f t="array" ref="AO69">IFERROR(INDEX(CHOOSE(MATCH($X69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69" t="str" cm="1">
        <f t="array" ref="AP69">IFERROR(INDEX(CHOOSE(MATCH($X69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69" t="str" cm="1">
        <f t="array" ref="AQ69">IFERROR(INDEX(CHOOSE(MATCH($X69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69" t="str" cm="1">
        <f t="array" ref="AR69">IFERROR(INDEX(CHOOSE(MATCH($X69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69" t="str" cm="1">
        <f t="array" ref="AS69">IFERROR(INDEX(CHOOSE(MATCH($X69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69" t="str" cm="1">
        <f t="array" ref="AT69">IFERROR(INDEX(CHOOSE(MATCH($X69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69" t="str" cm="1">
        <f t="array" ref="AU69">IFERROR(INDEX(CHOOSE(MATCH($X69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69" t="str" cm="1">
        <f t="array" ref="AV69">IFERROR(INDEX(CHOOSE(MATCH($X69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69" t="str" cm="1">
        <f t="array" ref="AW69">IFERROR(INDEX(CHOOSE(MATCH($X69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69" t="str" cm="1">
        <f t="array" ref="AX69">IFERROR(INDEX(CHOOSE(MATCH($X69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69" t="str" cm="1">
        <f t="array" ref="AY69">IFERROR(INDEX(CHOOSE(MATCH($X69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69" t="str" cm="1">
        <f t="array" ref="AZ69">IFERROR(INDEX(CHOOSE(MATCH($X69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69" t="str" cm="1">
        <f t="array" ref="BA69">IFERROR(INDEX(CHOOSE(MATCH($X69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69" t="str" cm="1">
        <f t="array" ref="BB69">IFERROR(INDEX(CHOOSE(MATCH($X69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69" t="str" cm="1">
        <f t="array" ref="BC69">IFERROR(INDEX(CHOOSE(MATCH($X69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69" t="str" cm="1">
        <f t="array" ref="BD69">IFERROR(INDEX(CHOOSE(MATCH($X69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69" t="str" cm="1">
        <f t="array" ref="BE69">IFERROR(INDEX(CHOOSE(MATCH($X69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69" t="str" cm="1">
        <f t="array" ref="BF69">IFERROR(INDEX(CHOOSE(MATCH($X69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69" t="str" cm="1">
        <f t="array" ref="BG69">IFERROR(INDEX(CHOOSE(MATCH($X69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69" s="4" t="e">
        <f>AVERAGE(Table2[[#This Row],[11-Mar]:[Column33]])</f>
        <v>#DIV/0!</v>
      </c>
      <c r="BJ69">
        <f>COUNT(Table2[[#This Row],[11-Mar]:[Column33]])</f>
        <v>0</v>
      </c>
    </row>
    <row r="70" spans="1:62" x14ac:dyDescent="0.45">
      <c r="A70" s="1"/>
      <c r="T70">
        <f t="shared" si="2"/>
        <v>0</v>
      </c>
      <c r="X70" t="s">
        <v>38</v>
      </c>
      <c r="Z70" s="6"/>
      <c r="AA70" s="10" t="e">
        <f>AVERAGE(Table2[[#This Row],[11-Mar]:[Column33]])</f>
        <v>#DIV/0!</v>
      </c>
      <c r="AC70" t="str" cm="1">
        <f t="array" ref="AC70">IFERROR(INDEX(CHOOSE(MATCH($X70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70" t="str" cm="1">
        <f t="array" ref="AD70">IFERROR(INDEX(CHOOSE(MATCH($X70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70" t="str" cm="1">
        <f t="array" ref="AE70">IFERROR(INDEX(CHOOSE(MATCH($X70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70" t="str" cm="1">
        <f t="array" ref="AF70">IFERROR(INDEX(CHOOSE(MATCH($X70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70" t="str" cm="1">
        <f t="array" ref="AG70">IFERROR(INDEX(CHOOSE(MATCH($X70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70" t="str" cm="1">
        <f t="array" ref="AH70">IFERROR(INDEX(CHOOSE(MATCH($X70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70" t="str" cm="1">
        <f t="array" ref="AI70">IFERROR(INDEX(CHOOSE(MATCH($X70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70" t="str" cm="1">
        <f t="array" ref="AJ70">IFERROR(INDEX(CHOOSE(MATCH($X70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70" t="str" cm="1">
        <f t="array" ref="AK70">IFERROR(INDEX(CHOOSE(MATCH($X70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70" t="str" cm="1">
        <f t="array" ref="AL70">IFERROR(INDEX(CHOOSE(MATCH($X70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70" t="str" cm="1">
        <f t="array" ref="AM70">IFERROR(INDEX(CHOOSE(MATCH($X70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70" t="str" cm="1">
        <f t="array" ref="AN70">IFERROR(INDEX(CHOOSE(MATCH($X70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70" t="str" cm="1">
        <f t="array" ref="AO70">IFERROR(INDEX(CHOOSE(MATCH($X70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70" t="str" cm="1">
        <f t="array" ref="AP70">IFERROR(INDEX(CHOOSE(MATCH($X70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70" t="str" cm="1">
        <f t="array" ref="AQ70">IFERROR(INDEX(CHOOSE(MATCH($X70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70" t="str" cm="1">
        <f t="array" ref="AR70">IFERROR(INDEX(CHOOSE(MATCH($X70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70" t="str" cm="1">
        <f t="array" ref="AS70">IFERROR(INDEX(CHOOSE(MATCH($X70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70" t="str" cm="1">
        <f t="array" ref="AT70">IFERROR(INDEX(CHOOSE(MATCH($X70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70" t="str" cm="1">
        <f t="array" ref="AU70">IFERROR(INDEX(CHOOSE(MATCH($X70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70" t="str" cm="1">
        <f t="array" ref="AV70">IFERROR(INDEX(CHOOSE(MATCH($X70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70" t="str" cm="1">
        <f t="array" ref="AW70">IFERROR(INDEX(CHOOSE(MATCH($X70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70" t="str" cm="1">
        <f t="array" ref="AX70">IFERROR(INDEX(CHOOSE(MATCH($X70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70" t="str" cm="1">
        <f t="array" ref="AY70">IFERROR(INDEX(CHOOSE(MATCH($X70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70" t="str" cm="1">
        <f t="array" ref="AZ70">IFERROR(INDEX(CHOOSE(MATCH($X70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70" t="str" cm="1">
        <f t="array" ref="BA70">IFERROR(INDEX(CHOOSE(MATCH($X70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70" t="str" cm="1">
        <f t="array" ref="BB70">IFERROR(INDEX(CHOOSE(MATCH($X70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70" t="str" cm="1">
        <f t="array" ref="BC70">IFERROR(INDEX(CHOOSE(MATCH($X70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70" t="str" cm="1">
        <f t="array" ref="BD70">IFERROR(INDEX(CHOOSE(MATCH($X70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70" t="str" cm="1">
        <f t="array" ref="BE70">IFERROR(INDEX(CHOOSE(MATCH($X70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70" t="str" cm="1">
        <f t="array" ref="BF70">IFERROR(INDEX(CHOOSE(MATCH($X70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70" t="str" cm="1">
        <f t="array" ref="BG70">IFERROR(INDEX(CHOOSE(MATCH($X70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70" s="4" t="e">
        <f>AVERAGE(Table2[[#This Row],[11-Mar]:[Column33]])</f>
        <v>#DIV/0!</v>
      </c>
      <c r="BJ70">
        <f>COUNT(Table2[[#This Row],[11-Mar]:[Column33]])</f>
        <v>0</v>
      </c>
    </row>
    <row r="71" spans="1:62" x14ac:dyDescent="0.45">
      <c r="A71" s="1"/>
      <c r="T71">
        <f t="shared" si="2"/>
        <v>0</v>
      </c>
      <c r="X71" t="s">
        <v>56</v>
      </c>
      <c r="Y71">
        <v>1</v>
      </c>
      <c r="Z71" s="6">
        <v>1</v>
      </c>
      <c r="AA71" s="10">
        <f>AVERAGE(Table2[[#This Row],[11-Mar]:[Column33]])</f>
        <v>3.3333333333333335</v>
      </c>
      <c r="AC71" t="str" cm="1">
        <f t="array" ref="AC71">IFERROR(INDEX(CHOOSE(MATCH($X71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71" t="str" cm="1">
        <f t="array" ref="AD71">IFERROR(INDEX(CHOOSE(MATCH($X71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71">
        <v>5</v>
      </c>
      <c r="AF71">
        <v>2</v>
      </c>
      <c r="AG71">
        <v>3</v>
      </c>
      <c r="AH71" t="str" cm="1">
        <f t="array" ref="AH71">IFERROR(INDEX(CHOOSE(MATCH($X71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71" t="str" cm="1">
        <f t="array" ref="AI71">IFERROR(INDEX(CHOOSE(MATCH($X71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71" t="str" cm="1">
        <f t="array" ref="AJ71">IFERROR(INDEX(CHOOSE(MATCH($X71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71" t="str" cm="1">
        <f t="array" ref="AK71">IFERROR(INDEX(CHOOSE(MATCH($X71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71" t="str" cm="1">
        <f t="array" ref="AL71">IFERROR(INDEX(CHOOSE(MATCH($X71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71" t="str" cm="1">
        <f t="array" ref="AM71">IFERROR(INDEX(CHOOSE(MATCH($X71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71" t="str" cm="1">
        <f t="array" ref="AN71">IFERROR(INDEX(CHOOSE(MATCH($X71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71" t="str" cm="1">
        <f t="array" ref="AO71">IFERROR(INDEX(CHOOSE(MATCH($X71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71" t="str" cm="1">
        <f t="array" ref="AP71">IFERROR(INDEX(CHOOSE(MATCH($X71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71" t="str" cm="1">
        <f t="array" ref="AQ71">IFERROR(INDEX(CHOOSE(MATCH($X71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71" t="str" cm="1">
        <f t="array" ref="AR71">IFERROR(INDEX(CHOOSE(MATCH($X71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71" t="str" cm="1">
        <f t="array" ref="AS71">IFERROR(INDEX(CHOOSE(MATCH($X71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71" t="str" cm="1">
        <f t="array" ref="AT71">IFERROR(INDEX(CHOOSE(MATCH($X71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71" t="str" cm="1">
        <f t="array" ref="AU71">IFERROR(INDEX(CHOOSE(MATCH($X71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71" t="str" cm="1">
        <f t="array" ref="AV71">IFERROR(INDEX(CHOOSE(MATCH($X71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71" t="str" cm="1">
        <f t="array" ref="AW71">IFERROR(INDEX(CHOOSE(MATCH($X71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71" t="str" cm="1">
        <f t="array" ref="AX71">IFERROR(INDEX(CHOOSE(MATCH($X71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71" t="str" cm="1">
        <f t="array" ref="AY71">IFERROR(INDEX(CHOOSE(MATCH($X71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71" t="str" cm="1">
        <f t="array" ref="AZ71">IFERROR(INDEX(CHOOSE(MATCH($X71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71" t="str" cm="1">
        <f t="array" ref="BA71">IFERROR(INDEX(CHOOSE(MATCH($X71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71" t="str" cm="1">
        <f t="array" ref="BB71">IFERROR(INDEX(CHOOSE(MATCH($X71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71" t="str" cm="1">
        <f t="array" ref="BC71">IFERROR(INDEX(CHOOSE(MATCH($X71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71" t="str" cm="1">
        <f t="array" ref="BD71">IFERROR(INDEX(CHOOSE(MATCH($X71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71" t="str" cm="1">
        <f t="array" ref="BE71">IFERROR(INDEX(CHOOSE(MATCH($X71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71" t="str" cm="1">
        <f t="array" ref="BF71">IFERROR(INDEX(CHOOSE(MATCH($X71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71" t="str" cm="1">
        <f t="array" ref="BG71">IFERROR(INDEX(CHOOSE(MATCH($X71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71" s="4">
        <f>AVERAGE(Table2[[#This Row],[11-Mar]:[Column33]])</f>
        <v>3.3333333333333335</v>
      </c>
      <c r="BJ71">
        <f>COUNT(Table2[[#This Row],[11-Mar]:[Column33]])</f>
        <v>3</v>
      </c>
    </row>
    <row r="72" spans="1:62" x14ac:dyDescent="0.45">
      <c r="A72" s="1"/>
      <c r="T72">
        <f t="shared" si="2"/>
        <v>0</v>
      </c>
      <c r="X72" t="s">
        <v>76</v>
      </c>
      <c r="Z72" s="6">
        <v>1</v>
      </c>
      <c r="AA72" s="10">
        <f>AVERAGE(Table2[[#This Row],[11-Mar]:[Column33]])</f>
        <v>0</v>
      </c>
      <c r="AC72" t="str" cm="1">
        <f t="array" ref="AC72">IFERROR(INDEX(CHOOSE(MATCH($X72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72" t="str" cm="1">
        <f t="array" ref="AD72">IFERROR(INDEX(CHOOSE(MATCH($X72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72" t="str" cm="1">
        <f t="array" ref="AE72">IFERROR(INDEX(CHOOSE(MATCH($X72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72">
        <v>0</v>
      </c>
      <c r="AG72" t="str" cm="1">
        <f t="array" ref="AG72">IFERROR(INDEX(CHOOSE(MATCH($X72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72">
        <v>0</v>
      </c>
      <c r="AI72" t="str" cm="1">
        <f t="array" ref="AI72">IFERROR(INDEX(CHOOSE(MATCH($X72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72" t="str" cm="1">
        <f t="array" ref="AJ72">IFERROR(INDEX(CHOOSE(MATCH($X72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72" t="str" cm="1">
        <f t="array" ref="AK72">IFERROR(INDEX(CHOOSE(MATCH($X72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72" t="str" cm="1">
        <f t="array" ref="AL72">IFERROR(INDEX(CHOOSE(MATCH($X72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72" t="str" cm="1">
        <f t="array" ref="AM72">IFERROR(INDEX(CHOOSE(MATCH($X72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72" t="str" cm="1">
        <f t="array" ref="AN72">IFERROR(INDEX(CHOOSE(MATCH($X72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72" t="str" cm="1">
        <f t="array" ref="AO72">IFERROR(INDEX(CHOOSE(MATCH($X72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72" t="str" cm="1">
        <f t="array" ref="AP72">IFERROR(INDEX(CHOOSE(MATCH($X72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72" t="str" cm="1">
        <f t="array" ref="AQ72">IFERROR(INDEX(CHOOSE(MATCH($X72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72" t="str" cm="1">
        <f t="array" ref="AR72">IFERROR(INDEX(CHOOSE(MATCH($X72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72" t="str" cm="1">
        <f t="array" ref="AS72">IFERROR(INDEX(CHOOSE(MATCH($X72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72" t="str" cm="1">
        <f t="array" ref="AT72">IFERROR(INDEX(CHOOSE(MATCH($X72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72" t="str" cm="1">
        <f t="array" ref="AU72">IFERROR(INDEX(CHOOSE(MATCH($X72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72" t="str" cm="1">
        <f t="array" ref="AV72">IFERROR(INDEX(CHOOSE(MATCH($X72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72" t="str" cm="1">
        <f t="array" ref="AW72">IFERROR(INDEX(CHOOSE(MATCH($X72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72" t="str" cm="1">
        <f t="array" ref="AX72">IFERROR(INDEX(CHOOSE(MATCH($X72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72" t="str" cm="1">
        <f t="array" ref="AY72">IFERROR(INDEX(CHOOSE(MATCH($X72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72" t="str" cm="1">
        <f t="array" ref="AZ72">IFERROR(INDEX(CHOOSE(MATCH($X72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72" t="str" cm="1">
        <f t="array" ref="BA72">IFERROR(INDEX(CHOOSE(MATCH($X72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72" t="str" cm="1">
        <f t="array" ref="BB72">IFERROR(INDEX(CHOOSE(MATCH($X72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72" t="str" cm="1">
        <f t="array" ref="BC72">IFERROR(INDEX(CHOOSE(MATCH($X72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72" t="str" cm="1">
        <f t="array" ref="BD72">IFERROR(INDEX(CHOOSE(MATCH($X72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72" t="str" cm="1">
        <f t="array" ref="BE72">IFERROR(INDEX(CHOOSE(MATCH($X72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72" t="str" cm="1">
        <f t="array" ref="BF72">IFERROR(INDEX(CHOOSE(MATCH($X72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72" t="str" cm="1">
        <f t="array" ref="BG72">IFERROR(INDEX(CHOOSE(MATCH($X72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72" s="4">
        <f>AVERAGE(Table2[[#This Row],[11-Mar]:[Column33]])</f>
        <v>0</v>
      </c>
      <c r="BJ72">
        <f>COUNT(Table2[[#This Row],[11-Mar]:[Column33]])</f>
        <v>2</v>
      </c>
    </row>
    <row r="73" spans="1:62" x14ac:dyDescent="0.45">
      <c r="A73" s="1"/>
      <c r="T73">
        <f t="shared" si="2"/>
        <v>0</v>
      </c>
      <c r="X73" t="s">
        <v>157</v>
      </c>
      <c r="Z73" s="6"/>
      <c r="AA73" s="10">
        <f>AVERAGE(Table2[[#This Row],[11-Mar]:[Column33]])</f>
        <v>-2</v>
      </c>
      <c r="AC73" t="str" cm="1">
        <f t="array" ref="AC73">IFERROR(INDEX(CHOOSE(MATCH($X73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73" t="str" cm="1">
        <f t="array" ref="AD73">IFERROR(INDEX(CHOOSE(MATCH($X73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73" t="str" cm="1">
        <f t="array" ref="AE73">IFERROR(INDEX(CHOOSE(MATCH($X73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73" t="str" cm="1">
        <f t="array" ref="AF73">IFERROR(INDEX(CHOOSE(MATCH($X73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73">
        <v>0</v>
      </c>
      <c r="AH73" t="str" cm="1">
        <f t="array" ref="AH73">IFERROR(INDEX(CHOOSE(MATCH($X73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73">
        <v>-4</v>
      </c>
      <c r="AJ73" t="str" cm="1">
        <f t="array" ref="AJ73">IFERROR(INDEX(CHOOSE(MATCH($X73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73" t="str" cm="1">
        <f t="array" ref="AK73">IFERROR(INDEX(CHOOSE(MATCH($X73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73" t="str" cm="1">
        <f t="array" ref="AL73">IFERROR(INDEX(CHOOSE(MATCH($X73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73" t="str" cm="1">
        <f t="array" ref="AM73">IFERROR(INDEX(CHOOSE(MATCH($X73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73" t="str" cm="1">
        <f t="array" ref="AN73">IFERROR(INDEX(CHOOSE(MATCH($X73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73" t="str" cm="1">
        <f t="array" ref="AO73">IFERROR(INDEX(CHOOSE(MATCH($X73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73" t="str" cm="1">
        <f t="array" ref="AP73">IFERROR(INDEX(CHOOSE(MATCH($X73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73" t="str" cm="1">
        <f t="array" ref="AQ73">IFERROR(INDEX(CHOOSE(MATCH($X73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73" t="str" cm="1">
        <f t="array" ref="AR73">IFERROR(INDEX(CHOOSE(MATCH($X73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73" t="str" cm="1">
        <f t="array" ref="AS73">IFERROR(INDEX(CHOOSE(MATCH($X73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73" t="str" cm="1">
        <f t="array" ref="AT73">IFERROR(INDEX(CHOOSE(MATCH($X73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73" t="str" cm="1">
        <f t="array" ref="AU73">IFERROR(INDEX(CHOOSE(MATCH($X73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73" t="str" cm="1">
        <f t="array" ref="AV73">IFERROR(INDEX(CHOOSE(MATCH($X73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73" t="str" cm="1">
        <f t="array" ref="AW73">IFERROR(INDEX(CHOOSE(MATCH($X73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73" t="str" cm="1">
        <f t="array" ref="AX73">IFERROR(INDEX(CHOOSE(MATCH($X73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73" t="str" cm="1">
        <f t="array" ref="AY73">IFERROR(INDEX(CHOOSE(MATCH($X73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73" t="str" cm="1">
        <f t="array" ref="AZ73">IFERROR(INDEX(CHOOSE(MATCH($X73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73" t="str" cm="1">
        <f t="array" ref="BA73">IFERROR(INDEX(CHOOSE(MATCH($X73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73" t="str" cm="1">
        <f t="array" ref="BB73">IFERROR(INDEX(CHOOSE(MATCH($X73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73" t="str" cm="1">
        <f t="array" ref="BC73">IFERROR(INDEX(CHOOSE(MATCH($X73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73" t="str" cm="1">
        <f t="array" ref="BD73">IFERROR(INDEX(CHOOSE(MATCH($X73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73" t="str" cm="1">
        <f t="array" ref="BE73">IFERROR(INDEX(CHOOSE(MATCH($X73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73" t="str" cm="1">
        <f t="array" ref="BF73">IFERROR(INDEX(CHOOSE(MATCH($X73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73" t="str" cm="1">
        <f t="array" ref="BG73">IFERROR(INDEX(CHOOSE(MATCH($X73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73" s="4">
        <f>AVERAGE(Table2[[#This Row],[11-Mar]:[Column33]])</f>
        <v>-2</v>
      </c>
      <c r="BJ73">
        <f>COUNT(Table2[[#This Row],[11-Mar]:[Column33]])</f>
        <v>2</v>
      </c>
    </row>
    <row r="74" spans="1:62" x14ac:dyDescent="0.45">
      <c r="A74" s="1"/>
      <c r="T74">
        <f t="shared" si="2"/>
        <v>0</v>
      </c>
      <c r="X74" t="s">
        <v>79</v>
      </c>
      <c r="Z74" s="6"/>
      <c r="AA74" s="10" t="e">
        <f>AVERAGE(Table2[[#This Row],[11-Mar]:[Column33]])</f>
        <v>#DIV/0!</v>
      </c>
      <c r="AC74" t="str" cm="1">
        <f t="array" ref="AC74">IFERROR(INDEX(CHOOSE(MATCH($X74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74" t="str" cm="1">
        <f t="array" ref="AD74">IFERROR(INDEX(CHOOSE(MATCH($X74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74" t="str" cm="1">
        <f t="array" ref="AE74">IFERROR(INDEX(CHOOSE(MATCH($X74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74" t="str" cm="1">
        <f t="array" ref="AF74">IFERROR(INDEX(CHOOSE(MATCH($X74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74" t="str" cm="1">
        <f t="array" ref="AG74">IFERROR(INDEX(CHOOSE(MATCH($X74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74" t="str" cm="1">
        <f t="array" ref="AH74">IFERROR(INDEX(CHOOSE(MATCH($X74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74" t="str" cm="1">
        <f t="array" ref="AI74">IFERROR(INDEX(CHOOSE(MATCH($X74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74" t="str" cm="1">
        <f t="array" ref="AJ74">IFERROR(INDEX(CHOOSE(MATCH($X74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74" t="str" cm="1">
        <f t="array" ref="AK74">IFERROR(INDEX(CHOOSE(MATCH($X74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74" t="str" cm="1">
        <f t="array" ref="AL74">IFERROR(INDEX(CHOOSE(MATCH($X74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74" t="str" cm="1">
        <f t="array" ref="AM74">IFERROR(INDEX(CHOOSE(MATCH($X74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74" t="str" cm="1">
        <f t="array" ref="AN74">IFERROR(INDEX(CHOOSE(MATCH($X74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74" t="str" cm="1">
        <f t="array" ref="AO74">IFERROR(INDEX(CHOOSE(MATCH($X74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74" t="str" cm="1">
        <f t="array" ref="AP74">IFERROR(INDEX(CHOOSE(MATCH($X74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74" t="str" cm="1">
        <f t="array" ref="AQ74">IFERROR(INDEX(CHOOSE(MATCH($X74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74" t="str" cm="1">
        <f t="array" ref="AR74">IFERROR(INDEX(CHOOSE(MATCH($X74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74" t="str" cm="1">
        <f t="array" ref="AS74">IFERROR(INDEX(CHOOSE(MATCH($X74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74" t="str" cm="1">
        <f t="array" ref="AT74">IFERROR(INDEX(CHOOSE(MATCH($X74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74" t="str" cm="1">
        <f t="array" ref="AU74">IFERROR(INDEX(CHOOSE(MATCH($X74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74" t="str" cm="1">
        <f t="array" ref="AV74">IFERROR(INDEX(CHOOSE(MATCH($X74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74" t="str" cm="1">
        <f t="array" ref="AW74">IFERROR(INDEX(CHOOSE(MATCH($X74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74" t="str" cm="1">
        <f t="array" ref="AX74">IFERROR(INDEX(CHOOSE(MATCH($X74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74" t="str" cm="1">
        <f t="array" ref="AY74">IFERROR(INDEX(CHOOSE(MATCH($X74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74" t="str" cm="1">
        <f t="array" ref="AZ74">IFERROR(INDEX(CHOOSE(MATCH($X74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74" t="str" cm="1">
        <f t="array" ref="BA74">IFERROR(INDEX(CHOOSE(MATCH($X74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74" t="str" cm="1">
        <f t="array" ref="BB74">IFERROR(INDEX(CHOOSE(MATCH($X74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74" t="str" cm="1">
        <f t="array" ref="BC74">IFERROR(INDEX(CHOOSE(MATCH($X74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74" t="str" cm="1">
        <f t="array" ref="BD74">IFERROR(INDEX(CHOOSE(MATCH($X74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74" t="str" cm="1">
        <f t="array" ref="BE74">IFERROR(INDEX(CHOOSE(MATCH($X74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74" t="str" cm="1">
        <f t="array" ref="BF74">IFERROR(INDEX(CHOOSE(MATCH($X74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74" t="str" cm="1">
        <f t="array" ref="BG74">IFERROR(INDEX(CHOOSE(MATCH($X74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74" s="4" t="e">
        <f>AVERAGE(Table2[[#This Row],[11-Mar]:[Column33]])</f>
        <v>#DIV/0!</v>
      </c>
      <c r="BJ74">
        <f>COUNT(Table2[[#This Row],[11-Mar]:[Column33]])</f>
        <v>0</v>
      </c>
    </row>
    <row r="75" spans="1:62" x14ac:dyDescent="0.45">
      <c r="A75" s="1"/>
      <c r="T75">
        <f t="shared" si="2"/>
        <v>0</v>
      </c>
      <c r="X75" t="s">
        <v>90</v>
      </c>
      <c r="Z75" s="6"/>
      <c r="AA75" s="10">
        <f>AVERAGE(Table2[[#This Row],[11-Mar]:[Column33]])</f>
        <v>0</v>
      </c>
      <c r="AC75" t="str" cm="1">
        <f t="array" ref="AC75">IFERROR(INDEX(CHOOSE(MATCH($X75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75" t="str" cm="1">
        <f t="array" ref="AD75">IFERROR(INDEX(CHOOSE(MATCH($X75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75" t="str" cm="1">
        <f t="array" ref="AE75">IFERROR(INDEX(CHOOSE(MATCH($X75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75" t="str" cm="1">
        <f t="array" ref="AF75">IFERROR(INDEX(CHOOSE(MATCH($X75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75" t="str" cm="1">
        <f t="array" ref="AG75">IFERROR(INDEX(CHOOSE(MATCH($X75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75" t="str" cm="1">
        <f t="array" ref="AH75">IFERROR(INDEX(CHOOSE(MATCH($X75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75">
        <v>0</v>
      </c>
      <c r="AJ75" t="str" cm="1">
        <f t="array" ref="AJ75">IFERROR(INDEX(CHOOSE(MATCH($X75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75" t="str" cm="1">
        <f t="array" ref="AK75">IFERROR(INDEX(CHOOSE(MATCH($X75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75" t="str" cm="1">
        <f t="array" ref="AL75">IFERROR(INDEX(CHOOSE(MATCH($X75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75" t="str" cm="1">
        <f t="array" ref="AM75">IFERROR(INDEX(CHOOSE(MATCH($X75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75" t="str" cm="1">
        <f t="array" ref="AN75">IFERROR(INDEX(CHOOSE(MATCH($X75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75" t="str" cm="1">
        <f t="array" ref="AO75">IFERROR(INDEX(CHOOSE(MATCH($X75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75" t="str" cm="1">
        <f t="array" ref="AP75">IFERROR(INDEX(CHOOSE(MATCH($X75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75" t="str" cm="1">
        <f t="array" ref="AQ75">IFERROR(INDEX(CHOOSE(MATCH($X75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75" t="str" cm="1">
        <f t="array" ref="AR75">IFERROR(INDEX(CHOOSE(MATCH($X75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75" t="str" cm="1">
        <f t="array" ref="AS75">IFERROR(INDEX(CHOOSE(MATCH($X75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75" t="str" cm="1">
        <f t="array" ref="AT75">IFERROR(INDEX(CHOOSE(MATCH($X75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75" t="str" cm="1">
        <f t="array" ref="AU75">IFERROR(INDEX(CHOOSE(MATCH($X75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75" t="str" cm="1">
        <f t="array" ref="AV75">IFERROR(INDEX(CHOOSE(MATCH($X75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75" t="str" cm="1">
        <f t="array" ref="AW75">IFERROR(INDEX(CHOOSE(MATCH($X75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75" t="str" cm="1">
        <f t="array" ref="AX75">IFERROR(INDEX(CHOOSE(MATCH($X75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75" t="str" cm="1">
        <f t="array" ref="AY75">IFERROR(INDEX(CHOOSE(MATCH($X75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75" t="str" cm="1">
        <f t="array" ref="AZ75">IFERROR(INDEX(CHOOSE(MATCH($X75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75" t="str" cm="1">
        <f t="array" ref="BA75">IFERROR(INDEX(CHOOSE(MATCH($X75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75" t="str" cm="1">
        <f t="array" ref="BB75">IFERROR(INDEX(CHOOSE(MATCH($X75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75" t="str" cm="1">
        <f t="array" ref="BC75">IFERROR(INDEX(CHOOSE(MATCH($X75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75" t="str" cm="1">
        <f t="array" ref="BD75">IFERROR(INDEX(CHOOSE(MATCH($X75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75" t="str" cm="1">
        <f t="array" ref="BE75">IFERROR(INDEX(CHOOSE(MATCH($X75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75" t="str" cm="1">
        <f t="array" ref="BF75">IFERROR(INDEX(CHOOSE(MATCH($X75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75" t="str" cm="1">
        <f t="array" ref="BG75">IFERROR(INDEX(CHOOSE(MATCH($X75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75" s="4">
        <f>AVERAGE(Table2[[#This Row],[11-Mar]:[Column33]])</f>
        <v>0</v>
      </c>
      <c r="BJ75">
        <f>COUNT(Table2[[#This Row],[11-Mar]:[Column33]])</f>
        <v>1</v>
      </c>
    </row>
    <row r="76" spans="1:62" x14ac:dyDescent="0.45">
      <c r="A76" s="1"/>
      <c r="T76">
        <f t="shared" si="2"/>
        <v>0</v>
      </c>
      <c r="X76" t="s">
        <v>73</v>
      </c>
      <c r="Y76">
        <v>1</v>
      </c>
      <c r="Z76" s="6"/>
      <c r="AA76" s="10">
        <f>AVERAGE(Table2[[#This Row],[11-Mar]:[Column33]])</f>
        <v>4</v>
      </c>
      <c r="AC76" t="str" cm="1">
        <f t="array" ref="AC76">IFERROR(INDEX(CHOOSE(MATCH($X76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76" t="str" cm="1">
        <f t="array" ref="AD76">IFERROR(INDEX(CHOOSE(MATCH($X76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76">
        <v>6</v>
      </c>
      <c r="AF76">
        <v>3</v>
      </c>
      <c r="AG76">
        <v>8</v>
      </c>
      <c r="AH76" t="str" cm="1">
        <f t="array" ref="AH76">IFERROR(INDEX(CHOOSE(MATCH($X76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76">
        <v>-1</v>
      </c>
      <c r="AJ76" t="str" cm="1">
        <f t="array" ref="AJ76">IFERROR(INDEX(CHOOSE(MATCH($X76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76" t="str" cm="1">
        <f t="array" ref="AK76">IFERROR(INDEX(CHOOSE(MATCH($X76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76" t="str" cm="1">
        <f t="array" ref="AL76">IFERROR(INDEX(CHOOSE(MATCH($X76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76" t="str" cm="1">
        <f t="array" ref="AM76">IFERROR(INDEX(CHOOSE(MATCH($X76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76" t="str" cm="1">
        <f t="array" ref="AN76">IFERROR(INDEX(CHOOSE(MATCH($X76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76" t="str" cm="1">
        <f t="array" ref="AO76">IFERROR(INDEX(CHOOSE(MATCH($X76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76" t="str" cm="1">
        <f t="array" ref="AP76">IFERROR(INDEX(CHOOSE(MATCH($X76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76" t="str" cm="1">
        <f t="array" ref="AQ76">IFERROR(INDEX(CHOOSE(MATCH($X76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76" t="str" cm="1">
        <f t="array" ref="AR76">IFERROR(INDEX(CHOOSE(MATCH($X76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76" t="str" cm="1">
        <f t="array" ref="AS76">IFERROR(INDEX(CHOOSE(MATCH($X76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76" t="str" cm="1">
        <f t="array" ref="AT76">IFERROR(INDEX(CHOOSE(MATCH($X76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76" t="str" cm="1">
        <f t="array" ref="AU76">IFERROR(INDEX(CHOOSE(MATCH($X76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76" t="str" cm="1">
        <f t="array" ref="AV76">IFERROR(INDEX(CHOOSE(MATCH($X76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76" t="str" cm="1">
        <f t="array" ref="AW76">IFERROR(INDEX(CHOOSE(MATCH($X76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76" t="str" cm="1">
        <f t="array" ref="AX76">IFERROR(INDEX(CHOOSE(MATCH($X76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76" t="str" cm="1">
        <f t="array" ref="AY76">IFERROR(INDEX(CHOOSE(MATCH($X76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76" t="str" cm="1">
        <f t="array" ref="AZ76">IFERROR(INDEX(CHOOSE(MATCH($X76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76" t="str" cm="1">
        <f t="array" ref="BA76">IFERROR(INDEX(CHOOSE(MATCH($X76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76" t="str" cm="1">
        <f t="array" ref="BB76">IFERROR(INDEX(CHOOSE(MATCH($X76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76" t="str" cm="1">
        <f t="array" ref="BC76">IFERROR(INDEX(CHOOSE(MATCH($X76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76" t="str" cm="1">
        <f t="array" ref="BD76">IFERROR(INDEX(CHOOSE(MATCH($X76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76" t="str" cm="1">
        <f t="array" ref="BE76">IFERROR(INDEX(CHOOSE(MATCH($X76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76" t="str" cm="1">
        <f t="array" ref="BF76">IFERROR(INDEX(CHOOSE(MATCH($X76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76" t="str" cm="1">
        <f t="array" ref="BG76">IFERROR(INDEX(CHOOSE(MATCH($X76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76" s="4">
        <f>AVERAGE(Table2[[#This Row],[11-Mar]:[Column33]])</f>
        <v>4</v>
      </c>
      <c r="BJ76">
        <f>COUNT(Table2[[#This Row],[11-Mar]:[Column33]])</f>
        <v>4</v>
      </c>
    </row>
    <row r="77" spans="1:62" x14ac:dyDescent="0.45">
      <c r="A77" s="1"/>
      <c r="T77">
        <f t="shared" si="2"/>
        <v>0</v>
      </c>
      <c r="X77" t="s">
        <v>159</v>
      </c>
      <c r="Z77" s="6"/>
      <c r="AA77" s="10">
        <f>AVERAGE(Table2[[#This Row],[11-Mar]:[Column33]])</f>
        <v>4</v>
      </c>
      <c r="AC77" t="str" cm="1">
        <f t="array" ref="AC77">IFERROR(INDEX(CHOOSE(MATCH($X77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77" t="str" cm="1">
        <f t="array" ref="AD77">IFERROR(INDEX(CHOOSE(MATCH($X77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77" t="str" cm="1">
        <f t="array" ref="AE77">IFERROR(INDEX(CHOOSE(MATCH($X77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77" t="str" cm="1">
        <f t="array" ref="AF77">IFERROR(INDEX(CHOOSE(MATCH($X77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77" t="str" cm="1">
        <f t="array" ref="AG77">IFERROR(INDEX(CHOOSE(MATCH($X77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77">
        <v>4</v>
      </c>
      <c r="AI77" t="str" cm="1">
        <f t="array" ref="AI77">IFERROR(INDEX(CHOOSE(MATCH($X77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77" t="str" cm="1">
        <f t="array" ref="AJ77">IFERROR(INDEX(CHOOSE(MATCH($X77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77" t="str" cm="1">
        <f t="array" ref="AK77">IFERROR(INDEX(CHOOSE(MATCH($X77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77" t="str" cm="1">
        <f t="array" ref="AL77">IFERROR(INDEX(CHOOSE(MATCH($X77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77" t="str" cm="1">
        <f t="array" ref="AM77">IFERROR(INDEX(CHOOSE(MATCH($X77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77" t="str" cm="1">
        <f t="array" ref="AN77">IFERROR(INDEX(CHOOSE(MATCH($X77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77" t="str" cm="1">
        <f t="array" ref="AO77">IFERROR(INDEX(CHOOSE(MATCH($X77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77" t="str" cm="1">
        <f t="array" ref="AP77">IFERROR(INDEX(CHOOSE(MATCH($X77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77" t="str" cm="1">
        <f t="array" ref="AQ77">IFERROR(INDEX(CHOOSE(MATCH($X77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77" t="str" cm="1">
        <f t="array" ref="AR77">IFERROR(INDEX(CHOOSE(MATCH($X77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77" t="str" cm="1">
        <f t="array" ref="AS77">IFERROR(INDEX(CHOOSE(MATCH($X77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77" t="str" cm="1">
        <f t="array" ref="AT77">IFERROR(INDEX(CHOOSE(MATCH($X77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77" t="str" cm="1">
        <f t="array" ref="AU77">IFERROR(INDEX(CHOOSE(MATCH($X77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77" t="str" cm="1">
        <f t="array" ref="AV77">IFERROR(INDEX(CHOOSE(MATCH($X77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77" t="str" cm="1">
        <f t="array" ref="AW77">IFERROR(INDEX(CHOOSE(MATCH($X77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77" t="str" cm="1">
        <f t="array" ref="AX77">IFERROR(INDEX(CHOOSE(MATCH($X77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77" t="str" cm="1">
        <f t="array" ref="AY77">IFERROR(INDEX(CHOOSE(MATCH($X77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77" t="str" cm="1">
        <f t="array" ref="AZ77">IFERROR(INDEX(CHOOSE(MATCH($X77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77" t="str" cm="1">
        <f t="array" ref="BA77">IFERROR(INDEX(CHOOSE(MATCH($X77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77" t="str" cm="1">
        <f t="array" ref="BB77">IFERROR(INDEX(CHOOSE(MATCH($X77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77" t="str" cm="1">
        <f t="array" ref="BC77">IFERROR(INDEX(CHOOSE(MATCH($X77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77" t="str" cm="1">
        <f t="array" ref="BD77">IFERROR(INDEX(CHOOSE(MATCH($X77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77" t="str" cm="1">
        <f t="array" ref="BE77">IFERROR(INDEX(CHOOSE(MATCH($X77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77" t="str" cm="1">
        <f t="array" ref="BF77">IFERROR(INDEX(CHOOSE(MATCH($X77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77" t="str" cm="1">
        <f t="array" ref="BG77">IFERROR(INDEX(CHOOSE(MATCH($X77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77" s="4">
        <f>AVERAGE(Table2[[#This Row],[11-Mar]:[Column33]])</f>
        <v>4</v>
      </c>
      <c r="BJ77">
        <f>COUNT(Table2[[#This Row],[11-Mar]:[Column33]])</f>
        <v>1</v>
      </c>
    </row>
    <row r="78" spans="1:62" x14ac:dyDescent="0.45">
      <c r="A78" s="1"/>
      <c r="T78">
        <f t="shared" si="2"/>
        <v>0</v>
      </c>
      <c r="X78" t="s">
        <v>42</v>
      </c>
      <c r="Z78" s="6"/>
      <c r="AA78" s="10">
        <f>AVERAGE(Table2[[#This Row],[11-Mar]:[Column33]])</f>
        <v>3.5</v>
      </c>
      <c r="AC78">
        <v>1</v>
      </c>
      <c r="AD78">
        <v>4</v>
      </c>
      <c r="AE78">
        <v>6</v>
      </c>
      <c r="AF78" t="str" cm="1">
        <f t="array" ref="AF78">IFERROR(INDEX(CHOOSE(MATCH($X78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78">
        <v>3</v>
      </c>
      <c r="AH78" t="str" cm="1">
        <f t="array" ref="AH78">IFERROR(INDEX(CHOOSE(MATCH($X78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78" t="str" cm="1">
        <f t="array" ref="AI78">IFERROR(INDEX(CHOOSE(MATCH($X78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78" t="str" cm="1">
        <f t="array" ref="AJ78">IFERROR(INDEX(CHOOSE(MATCH($X78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78" t="str" cm="1">
        <f t="array" ref="AK78">IFERROR(INDEX(CHOOSE(MATCH($X78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78" t="str" cm="1">
        <f t="array" ref="AL78">IFERROR(INDEX(CHOOSE(MATCH($X78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78" t="str" cm="1">
        <f t="array" ref="AM78">IFERROR(INDEX(CHOOSE(MATCH($X78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78" t="str" cm="1">
        <f t="array" ref="AN78">IFERROR(INDEX(CHOOSE(MATCH($X78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78" t="str" cm="1">
        <f t="array" ref="AO78">IFERROR(INDEX(CHOOSE(MATCH($X78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78" t="str" cm="1">
        <f t="array" ref="AP78">IFERROR(INDEX(CHOOSE(MATCH($X78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78" t="str" cm="1">
        <f t="array" ref="AQ78">IFERROR(INDEX(CHOOSE(MATCH($X78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78" t="str" cm="1">
        <f t="array" ref="AR78">IFERROR(INDEX(CHOOSE(MATCH($X78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78" t="str" cm="1">
        <f t="array" ref="AS78">IFERROR(INDEX(CHOOSE(MATCH($X78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78" t="str" cm="1">
        <f t="array" ref="AT78">IFERROR(INDEX(CHOOSE(MATCH($X78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78" t="str" cm="1">
        <f t="array" ref="AU78">IFERROR(INDEX(CHOOSE(MATCH($X78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78" t="str" cm="1">
        <f t="array" ref="AV78">IFERROR(INDEX(CHOOSE(MATCH($X78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78" t="str" cm="1">
        <f t="array" ref="AW78">IFERROR(INDEX(CHOOSE(MATCH($X78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78" t="str" cm="1">
        <f t="array" ref="AX78">IFERROR(INDEX(CHOOSE(MATCH($X78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78" t="str" cm="1">
        <f t="array" ref="AY78">IFERROR(INDEX(CHOOSE(MATCH($X78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78" t="str" cm="1">
        <f t="array" ref="AZ78">IFERROR(INDEX(CHOOSE(MATCH($X78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78" t="str" cm="1">
        <f t="array" ref="BA78">IFERROR(INDEX(CHOOSE(MATCH($X78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78" t="str" cm="1">
        <f t="array" ref="BB78">IFERROR(INDEX(CHOOSE(MATCH($X78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78" t="str" cm="1">
        <f t="array" ref="BC78">IFERROR(INDEX(CHOOSE(MATCH($X78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78" t="str" cm="1">
        <f t="array" ref="BD78">IFERROR(INDEX(CHOOSE(MATCH($X78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78" t="str" cm="1">
        <f t="array" ref="BE78">IFERROR(INDEX(CHOOSE(MATCH($X78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78" t="str" cm="1">
        <f t="array" ref="BF78">IFERROR(INDEX(CHOOSE(MATCH($X78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78" t="str" cm="1">
        <f t="array" ref="BG78">IFERROR(INDEX(CHOOSE(MATCH($X78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78" s="4">
        <f>AVERAGE(Table2[[#This Row],[11-Mar]:[Column33]])</f>
        <v>3.5</v>
      </c>
      <c r="BJ78">
        <f>COUNT(Table2[[#This Row],[11-Mar]:[Column33]])</f>
        <v>4</v>
      </c>
    </row>
    <row r="79" spans="1:62" x14ac:dyDescent="0.45">
      <c r="A79" s="1"/>
      <c r="T79">
        <f t="shared" si="2"/>
        <v>0</v>
      </c>
      <c r="X79" t="s">
        <v>72</v>
      </c>
      <c r="Y79">
        <v>1</v>
      </c>
      <c r="Z79" s="6">
        <v>1</v>
      </c>
      <c r="AA79" s="10">
        <f>AVERAGE(Table2[[#This Row],[11-Mar]:[Column33]])</f>
        <v>1.3333333333333333</v>
      </c>
      <c r="AC79" t="str" cm="1">
        <f t="array" ref="AC79">IFERROR(INDEX(CHOOSE(MATCH($X79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79" t="str" cm="1">
        <f t="array" ref="AD79">IFERROR(INDEX(CHOOSE(MATCH($X79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79">
        <v>2</v>
      </c>
      <c r="AF79">
        <v>2</v>
      </c>
      <c r="AG79" t="str" cm="1">
        <f t="array" ref="AG79">IFERROR(INDEX(CHOOSE(MATCH($X79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79">
        <v>0</v>
      </c>
      <c r="AI79" t="str" cm="1">
        <f t="array" ref="AI79">IFERROR(INDEX(CHOOSE(MATCH($X79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79" t="str" cm="1">
        <f t="array" ref="AJ79">IFERROR(INDEX(CHOOSE(MATCH($X79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79" t="str" cm="1">
        <f t="array" ref="AK79">IFERROR(INDEX(CHOOSE(MATCH($X79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79" t="str" cm="1">
        <f t="array" ref="AL79">IFERROR(INDEX(CHOOSE(MATCH($X79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79" t="str" cm="1">
        <f t="array" ref="AM79">IFERROR(INDEX(CHOOSE(MATCH($X79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79" t="str" cm="1">
        <f t="array" ref="AN79">IFERROR(INDEX(CHOOSE(MATCH($X79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79" t="str" cm="1">
        <f t="array" ref="AO79">IFERROR(INDEX(CHOOSE(MATCH($X79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79" t="str" cm="1">
        <f t="array" ref="AP79">IFERROR(INDEX(CHOOSE(MATCH($X79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79" t="str" cm="1">
        <f t="array" ref="AQ79">IFERROR(INDEX(CHOOSE(MATCH($X79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79" t="str" cm="1">
        <f t="array" ref="AR79">IFERROR(INDEX(CHOOSE(MATCH($X79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79" t="str" cm="1">
        <f t="array" ref="AS79">IFERROR(INDEX(CHOOSE(MATCH($X79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79" t="str" cm="1">
        <f t="array" ref="AT79">IFERROR(INDEX(CHOOSE(MATCH($X79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79" t="str" cm="1">
        <f t="array" ref="AU79">IFERROR(INDEX(CHOOSE(MATCH($X79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79" t="str" cm="1">
        <f t="array" ref="AV79">IFERROR(INDEX(CHOOSE(MATCH($X79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79" t="str" cm="1">
        <f t="array" ref="AW79">IFERROR(INDEX(CHOOSE(MATCH($X79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79" t="str" cm="1">
        <f t="array" ref="AX79">IFERROR(INDEX(CHOOSE(MATCH($X79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79" t="str" cm="1">
        <f t="array" ref="AY79">IFERROR(INDEX(CHOOSE(MATCH($X79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79" t="str" cm="1">
        <f t="array" ref="AZ79">IFERROR(INDEX(CHOOSE(MATCH($X79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79" t="str" cm="1">
        <f t="array" ref="BA79">IFERROR(INDEX(CHOOSE(MATCH($X79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79" t="str" cm="1">
        <f t="array" ref="BB79">IFERROR(INDEX(CHOOSE(MATCH($X79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79" t="str" cm="1">
        <f t="array" ref="BC79">IFERROR(INDEX(CHOOSE(MATCH($X79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79" t="str" cm="1">
        <f t="array" ref="BD79">IFERROR(INDEX(CHOOSE(MATCH($X79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79" t="str" cm="1">
        <f t="array" ref="BE79">IFERROR(INDEX(CHOOSE(MATCH($X79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79" t="str" cm="1">
        <f t="array" ref="BF79">IFERROR(INDEX(CHOOSE(MATCH($X79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79" t="str" cm="1">
        <f t="array" ref="BG79">IFERROR(INDEX(CHOOSE(MATCH($X79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79" s="4">
        <f>AVERAGE(Table2[[#This Row],[11-Mar]:[Column33]])</f>
        <v>1.3333333333333333</v>
      </c>
      <c r="BJ79">
        <f>COUNT(Table2[[#This Row],[11-Mar]:[Column33]])</f>
        <v>3</v>
      </c>
    </row>
    <row r="80" spans="1:62" x14ac:dyDescent="0.45">
      <c r="A80" s="1"/>
      <c r="T80">
        <f t="shared" si="2"/>
        <v>0</v>
      </c>
      <c r="X80" t="s">
        <v>102</v>
      </c>
      <c r="Z80" s="6"/>
      <c r="AA80" s="10">
        <f>AVERAGE(Table2[[#This Row],[11-Mar]:[Column33]])</f>
        <v>0</v>
      </c>
      <c r="AC80" t="str" cm="1">
        <f t="array" ref="AC80">IFERROR(INDEX(CHOOSE(MATCH($X80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80" t="str" cm="1">
        <f t="array" ref="AD80">IFERROR(INDEX(CHOOSE(MATCH($X80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80" t="str" cm="1">
        <f t="array" ref="AE80">IFERROR(INDEX(CHOOSE(MATCH($X80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80" t="str" cm="1">
        <f t="array" ref="AF80">IFERROR(INDEX(CHOOSE(MATCH($X80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80" t="str" cm="1">
        <f t="array" ref="AG80">IFERROR(INDEX(CHOOSE(MATCH($X80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80">
        <v>0</v>
      </c>
      <c r="AI80" t="str" cm="1">
        <f t="array" ref="AI80">IFERROR(INDEX(CHOOSE(MATCH($X80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80" t="str" cm="1">
        <f t="array" ref="AJ80">IFERROR(INDEX(CHOOSE(MATCH($X80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80" t="str" cm="1">
        <f t="array" ref="AK80">IFERROR(INDEX(CHOOSE(MATCH($X80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80" t="str" cm="1">
        <f t="array" ref="AL80">IFERROR(INDEX(CHOOSE(MATCH($X80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80" t="str" cm="1">
        <f t="array" ref="AM80">IFERROR(INDEX(CHOOSE(MATCH($X80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80" t="str" cm="1">
        <f t="array" ref="AN80">IFERROR(INDEX(CHOOSE(MATCH($X80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80" t="str" cm="1">
        <f t="array" ref="AO80">IFERROR(INDEX(CHOOSE(MATCH($X80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80" t="str" cm="1">
        <f t="array" ref="AP80">IFERROR(INDEX(CHOOSE(MATCH($X80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80" t="str" cm="1">
        <f t="array" ref="AQ80">IFERROR(INDEX(CHOOSE(MATCH($X80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80" t="str" cm="1">
        <f t="array" ref="AR80">IFERROR(INDEX(CHOOSE(MATCH($X80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80" t="str" cm="1">
        <f t="array" ref="AS80">IFERROR(INDEX(CHOOSE(MATCH($X80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80" t="str" cm="1">
        <f t="array" ref="AT80">IFERROR(INDEX(CHOOSE(MATCH($X80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80" t="str" cm="1">
        <f t="array" ref="AU80">IFERROR(INDEX(CHOOSE(MATCH($X80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80" t="str" cm="1">
        <f t="array" ref="AV80">IFERROR(INDEX(CHOOSE(MATCH($X80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80" t="str" cm="1">
        <f t="array" ref="AW80">IFERROR(INDEX(CHOOSE(MATCH($X80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80" t="str" cm="1">
        <f t="array" ref="AX80">IFERROR(INDEX(CHOOSE(MATCH($X80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80" t="str" cm="1">
        <f t="array" ref="AY80">IFERROR(INDEX(CHOOSE(MATCH($X80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80" t="str" cm="1">
        <f t="array" ref="AZ80">IFERROR(INDEX(CHOOSE(MATCH($X80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80" t="str" cm="1">
        <f t="array" ref="BA80">IFERROR(INDEX(CHOOSE(MATCH($X80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80" t="str" cm="1">
        <f t="array" ref="BB80">IFERROR(INDEX(CHOOSE(MATCH($X80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80" t="str" cm="1">
        <f t="array" ref="BC80">IFERROR(INDEX(CHOOSE(MATCH($X80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80" t="str" cm="1">
        <f t="array" ref="BD80">IFERROR(INDEX(CHOOSE(MATCH($X80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80" t="str" cm="1">
        <f t="array" ref="BE80">IFERROR(INDEX(CHOOSE(MATCH($X80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80" t="str" cm="1">
        <f t="array" ref="BF80">IFERROR(INDEX(CHOOSE(MATCH($X80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80" t="str" cm="1">
        <f t="array" ref="BG80">IFERROR(INDEX(CHOOSE(MATCH($X80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80" s="4">
        <f>AVERAGE(Table2[[#This Row],[11-Mar]:[Column33]])</f>
        <v>0</v>
      </c>
      <c r="BJ80">
        <f>COUNT(Table2[[#This Row],[11-Mar]:[Column33]])</f>
        <v>1</v>
      </c>
    </row>
    <row r="81" spans="1:62" x14ac:dyDescent="0.45">
      <c r="A81" s="1"/>
      <c r="T81">
        <f t="shared" si="2"/>
        <v>0</v>
      </c>
      <c r="X81" t="s">
        <v>150</v>
      </c>
      <c r="Z81" s="6"/>
      <c r="AA81" s="10">
        <f>AVERAGE(Table2[[#This Row],[11-Mar]:[Column33]])</f>
        <v>0</v>
      </c>
      <c r="AC81" t="str" cm="1">
        <f t="array" ref="AC81">IFERROR(INDEX(CHOOSE(MATCH($X81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81" t="str" cm="1">
        <f t="array" ref="AD81">IFERROR(INDEX(CHOOSE(MATCH($X81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81">
        <v>0</v>
      </c>
      <c r="AF81" t="str" cm="1">
        <f t="array" ref="AF81">IFERROR(INDEX(CHOOSE(MATCH($X81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81" t="str" cm="1">
        <f t="array" ref="AG81">IFERROR(INDEX(CHOOSE(MATCH($X81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81" t="str" cm="1">
        <f t="array" ref="AH81">IFERROR(INDEX(CHOOSE(MATCH($X81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81" t="str" cm="1">
        <f t="array" ref="AI81">IFERROR(INDEX(CHOOSE(MATCH($X81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81" t="str" cm="1">
        <f t="array" ref="AJ81">IFERROR(INDEX(CHOOSE(MATCH($X81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81" t="str" cm="1">
        <f t="array" ref="AK81">IFERROR(INDEX(CHOOSE(MATCH($X81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81" t="str" cm="1">
        <f t="array" ref="AL81">IFERROR(INDEX(CHOOSE(MATCH($X81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81" t="str" cm="1">
        <f t="array" ref="AM81">IFERROR(INDEX(CHOOSE(MATCH($X81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81" t="str" cm="1">
        <f t="array" ref="AN81">IFERROR(INDEX(CHOOSE(MATCH($X81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81" t="str" cm="1">
        <f t="array" ref="AO81">IFERROR(INDEX(CHOOSE(MATCH($X81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81" t="str" cm="1">
        <f t="array" ref="AP81">IFERROR(INDEX(CHOOSE(MATCH($X81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81" t="str" cm="1">
        <f t="array" ref="AQ81">IFERROR(INDEX(CHOOSE(MATCH($X81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81" t="str" cm="1">
        <f t="array" ref="AR81">IFERROR(INDEX(CHOOSE(MATCH($X81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81" t="str" cm="1">
        <f t="array" ref="AS81">IFERROR(INDEX(CHOOSE(MATCH($X81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81" t="str" cm="1">
        <f t="array" ref="AT81">IFERROR(INDEX(CHOOSE(MATCH($X81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81" t="str" cm="1">
        <f t="array" ref="AU81">IFERROR(INDEX(CHOOSE(MATCH($X81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81" t="str" cm="1">
        <f t="array" ref="AV81">IFERROR(INDEX(CHOOSE(MATCH($X81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81" t="str" cm="1">
        <f t="array" ref="AW81">IFERROR(INDEX(CHOOSE(MATCH($X81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81" t="str" cm="1">
        <f t="array" ref="AX81">IFERROR(INDEX(CHOOSE(MATCH($X81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81" t="str" cm="1">
        <f t="array" ref="AY81">IFERROR(INDEX(CHOOSE(MATCH($X81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81" t="str" cm="1">
        <f t="array" ref="AZ81">IFERROR(INDEX(CHOOSE(MATCH($X81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81" t="str" cm="1">
        <f t="array" ref="BA81">IFERROR(INDEX(CHOOSE(MATCH($X81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81" t="str" cm="1">
        <f t="array" ref="BB81">IFERROR(INDEX(CHOOSE(MATCH($X81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81" t="str" cm="1">
        <f t="array" ref="BC81">IFERROR(INDEX(CHOOSE(MATCH($X81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81" t="str" cm="1">
        <f t="array" ref="BD81">IFERROR(INDEX(CHOOSE(MATCH($X81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81" t="str" cm="1">
        <f t="array" ref="BE81">IFERROR(INDEX(CHOOSE(MATCH($X81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81" t="str" cm="1">
        <f t="array" ref="BF81">IFERROR(INDEX(CHOOSE(MATCH($X81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81" t="str" cm="1">
        <f t="array" ref="BG81">IFERROR(INDEX(CHOOSE(MATCH($X81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81" s="4">
        <f>AVERAGE(Table2[[#This Row],[11-Mar]:[Column33]])</f>
        <v>0</v>
      </c>
      <c r="BJ81">
        <f>COUNT(Table2[[#This Row],[11-Mar]:[Column33]])</f>
        <v>1</v>
      </c>
    </row>
    <row r="82" spans="1:62" x14ac:dyDescent="0.45">
      <c r="A82" s="1"/>
      <c r="T82">
        <f t="shared" si="2"/>
        <v>0</v>
      </c>
      <c r="X82" t="s">
        <v>156</v>
      </c>
      <c r="Z82" s="6"/>
      <c r="AA82" s="10">
        <f>AVERAGE(Table2[[#This Row],[11-Mar]:[Column33]])</f>
        <v>-1</v>
      </c>
      <c r="AC82" t="str" cm="1">
        <f t="array" ref="AC82">IFERROR(INDEX(CHOOSE(MATCH($X82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82" t="str" cm="1">
        <f t="array" ref="AD82">IFERROR(INDEX(CHOOSE(MATCH($X82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82" t="str" cm="1">
        <f t="array" ref="AE82">IFERROR(INDEX(CHOOSE(MATCH($X82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82">
        <v>-1</v>
      </c>
      <c r="AG82" t="str" cm="1">
        <f t="array" ref="AG82">IFERROR(INDEX(CHOOSE(MATCH($X82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82" t="str" cm="1">
        <f t="array" ref="AH82">IFERROR(INDEX(CHOOSE(MATCH($X82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82" t="str" cm="1">
        <f t="array" ref="AI82">IFERROR(INDEX(CHOOSE(MATCH($X82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82" t="str" cm="1">
        <f t="array" ref="AJ82">IFERROR(INDEX(CHOOSE(MATCH($X82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82" t="str" cm="1">
        <f t="array" ref="AK82">IFERROR(INDEX(CHOOSE(MATCH($X82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82" t="str" cm="1">
        <f t="array" ref="AL82">IFERROR(INDEX(CHOOSE(MATCH($X82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82" t="str" cm="1">
        <f t="array" ref="AM82">IFERROR(INDEX(CHOOSE(MATCH($X82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82" t="str" cm="1">
        <f t="array" ref="AN82">IFERROR(INDEX(CHOOSE(MATCH($X82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82" t="str" cm="1">
        <f t="array" ref="AO82">IFERROR(INDEX(CHOOSE(MATCH($X82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82" t="str" cm="1">
        <f t="array" ref="AP82">IFERROR(INDEX(CHOOSE(MATCH($X82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82" t="str" cm="1">
        <f t="array" ref="AQ82">IFERROR(INDEX(CHOOSE(MATCH($X82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82" t="str" cm="1">
        <f t="array" ref="AR82">IFERROR(INDEX(CHOOSE(MATCH($X82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82" t="str" cm="1">
        <f t="array" ref="AS82">IFERROR(INDEX(CHOOSE(MATCH($X82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82" t="str" cm="1">
        <f t="array" ref="AT82">IFERROR(INDEX(CHOOSE(MATCH($X82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82" t="str" cm="1">
        <f t="array" ref="AU82">IFERROR(INDEX(CHOOSE(MATCH($X82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82" t="str" cm="1">
        <f t="array" ref="AV82">IFERROR(INDEX(CHOOSE(MATCH($X82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82" t="str" cm="1">
        <f t="array" ref="AW82">IFERROR(INDEX(CHOOSE(MATCH($X82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82" t="str" cm="1">
        <f t="array" ref="AX82">IFERROR(INDEX(CHOOSE(MATCH($X82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82" t="str" cm="1">
        <f t="array" ref="AY82">IFERROR(INDEX(CHOOSE(MATCH($X82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82" t="str" cm="1">
        <f t="array" ref="AZ82">IFERROR(INDEX(CHOOSE(MATCH($X82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82" t="str" cm="1">
        <f t="array" ref="BA82">IFERROR(INDEX(CHOOSE(MATCH($X82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82" t="str" cm="1">
        <f t="array" ref="BB82">IFERROR(INDEX(CHOOSE(MATCH($X82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82" t="str" cm="1">
        <f t="array" ref="BC82">IFERROR(INDEX(CHOOSE(MATCH($X82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82" t="str" cm="1">
        <f t="array" ref="BD82">IFERROR(INDEX(CHOOSE(MATCH($X82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82" t="str" cm="1">
        <f t="array" ref="BE82">IFERROR(INDEX(CHOOSE(MATCH($X82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82" t="str" cm="1">
        <f t="array" ref="BF82">IFERROR(INDEX(CHOOSE(MATCH($X82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82" t="str" cm="1">
        <f t="array" ref="BG82">IFERROR(INDEX(CHOOSE(MATCH($X82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82" s="4">
        <f>AVERAGE(Table2[[#This Row],[11-Mar]:[Column33]])</f>
        <v>-1</v>
      </c>
      <c r="BJ82">
        <f>COUNT(Table2[[#This Row],[11-Mar]:[Column33]])</f>
        <v>1</v>
      </c>
    </row>
    <row r="83" spans="1:62" x14ac:dyDescent="0.45">
      <c r="A83" s="1"/>
      <c r="T83">
        <f t="shared" si="2"/>
        <v>0</v>
      </c>
      <c r="X83" t="s">
        <v>144</v>
      </c>
      <c r="Z83" s="6"/>
      <c r="AA83" s="10">
        <f>AVERAGE(Table2[[#This Row],[11-Mar]:[Column33]])</f>
        <v>3</v>
      </c>
      <c r="AB83">
        <v>1</v>
      </c>
      <c r="AC83">
        <v>2</v>
      </c>
      <c r="AD83">
        <v>6</v>
      </c>
      <c r="AE83">
        <v>0</v>
      </c>
      <c r="AF83">
        <v>-1</v>
      </c>
      <c r="AG83">
        <v>8</v>
      </c>
      <c r="AH83" t="str" cm="1">
        <f t="array" ref="AH83">IFERROR(INDEX(CHOOSE(MATCH($X83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83">
        <v>5</v>
      </c>
      <c r="AJ83" t="str" cm="1">
        <f t="array" ref="AJ83">IFERROR(INDEX(CHOOSE(MATCH($X83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83" t="str" cm="1">
        <f t="array" ref="AK83">IFERROR(INDEX(CHOOSE(MATCH($X83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83" t="str" cm="1">
        <f t="array" ref="AL83">IFERROR(INDEX(CHOOSE(MATCH($X83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83" t="str" cm="1">
        <f t="array" ref="AM83">IFERROR(INDEX(CHOOSE(MATCH($X83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83" t="str" cm="1">
        <f t="array" ref="AN83">IFERROR(INDEX(CHOOSE(MATCH($X83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83" t="str" cm="1">
        <f t="array" ref="AO83">IFERROR(INDEX(CHOOSE(MATCH($X83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83" t="str" cm="1">
        <f t="array" ref="AP83">IFERROR(INDEX(CHOOSE(MATCH($X83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83" t="str" cm="1">
        <f t="array" ref="AQ83">IFERROR(INDEX(CHOOSE(MATCH($X83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83" t="str" cm="1">
        <f t="array" ref="AR83">IFERROR(INDEX(CHOOSE(MATCH($X83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83" t="str" cm="1">
        <f t="array" ref="AS83">IFERROR(INDEX(CHOOSE(MATCH($X83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83" t="str" cm="1">
        <f t="array" ref="AT83">IFERROR(INDEX(CHOOSE(MATCH($X83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83" t="str" cm="1">
        <f t="array" ref="AU83">IFERROR(INDEX(CHOOSE(MATCH($X83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83" t="str" cm="1">
        <f t="array" ref="AV83">IFERROR(INDEX(CHOOSE(MATCH($X83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83" t="str" cm="1">
        <f t="array" ref="AW83">IFERROR(INDEX(CHOOSE(MATCH($X83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83" t="str" cm="1">
        <f t="array" ref="AX83">IFERROR(INDEX(CHOOSE(MATCH($X83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83" t="str" cm="1">
        <f t="array" ref="AY83">IFERROR(INDEX(CHOOSE(MATCH($X83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83" t="str" cm="1">
        <f t="array" ref="AZ83">IFERROR(INDEX(CHOOSE(MATCH($X83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83" t="str" cm="1">
        <f t="array" ref="BA83">IFERROR(INDEX(CHOOSE(MATCH($X83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83" t="str" cm="1">
        <f t="array" ref="BB83">IFERROR(INDEX(CHOOSE(MATCH($X83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83" t="str" cm="1">
        <f t="array" ref="BC83">IFERROR(INDEX(CHOOSE(MATCH($X83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83" t="str" cm="1">
        <f t="array" ref="BD83">IFERROR(INDEX(CHOOSE(MATCH($X83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83" t="str" cm="1">
        <f t="array" ref="BE83">IFERROR(INDEX(CHOOSE(MATCH($X83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83" t="str" cm="1">
        <f t="array" ref="BF83">IFERROR(INDEX(CHOOSE(MATCH($X83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83" t="str" cm="1">
        <f t="array" ref="BG83">IFERROR(INDEX(CHOOSE(MATCH($X83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83" s="4">
        <f>AVERAGE(Table2[[#This Row],[11-Mar]:[Column33]])</f>
        <v>3</v>
      </c>
      <c r="BJ83">
        <f>COUNT(Table2[[#This Row],[11-Mar]:[Column33]])</f>
        <v>7</v>
      </c>
    </row>
    <row r="84" spans="1:62" x14ac:dyDescent="0.45">
      <c r="A84" s="1"/>
      <c r="T84">
        <f t="shared" si="2"/>
        <v>0</v>
      </c>
      <c r="X84" t="s">
        <v>106</v>
      </c>
      <c r="Z84" s="6"/>
      <c r="AA84" s="10" t="e">
        <f>AVERAGE(Table2[[#This Row],[11-Mar]:[Column33]])</f>
        <v>#DIV/0!</v>
      </c>
      <c r="AC84" t="str" cm="1">
        <f t="array" ref="AC84">IFERROR(INDEX(CHOOSE(MATCH($X84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84" t="str" cm="1">
        <f t="array" ref="AD84">IFERROR(INDEX(CHOOSE(MATCH($X84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84" t="str" cm="1">
        <f t="array" ref="AE84">IFERROR(INDEX(CHOOSE(MATCH($X84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84" t="str" cm="1">
        <f t="array" ref="AF84">IFERROR(INDEX(CHOOSE(MATCH($X84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84" t="str" cm="1">
        <f t="array" ref="AG84">IFERROR(INDEX(CHOOSE(MATCH($X84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84" t="str" cm="1">
        <f t="array" ref="AH84">IFERROR(INDEX(CHOOSE(MATCH($X84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84" t="str" cm="1">
        <f t="array" ref="AI84">IFERROR(INDEX(CHOOSE(MATCH($X84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84" t="str" cm="1">
        <f t="array" ref="AJ84">IFERROR(INDEX(CHOOSE(MATCH($X84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84" t="str" cm="1">
        <f t="array" ref="AK84">IFERROR(INDEX(CHOOSE(MATCH($X84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84" t="str" cm="1">
        <f t="array" ref="AL84">IFERROR(INDEX(CHOOSE(MATCH($X84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84" t="str" cm="1">
        <f t="array" ref="AM84">IFERROR(INDEX(CHOOSE(MATCH($X84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84" t="str" cm="1">
        <f t="array" ref="AN84">IFERROR(INDEX(CHOOSE(MATCH($X84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84" t="str" cm="1">
        <f t="array" ref="AO84">IFERROR(INDEX(CHOOSE(MATCH($X84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84" t="str" cm="1">
        <f t="array" ref="AP84">IFERROR(INDEX(CHOOSE(MATCH($X84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84" t="str" cm="1">
        <f t="array" ref="AQ84">IFERROR(INDEX(CHOOSE(MATCH($X84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84" t="str" cm="1">
        <f t="array" ref="AR84">IFERROR(INDEX(CHOOSE(MATCH($X84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84" t="str" cm="1">
        <f t="array" ref="AS84">IFERROR(INDEX(CHOOSE(MATCH($X84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84" t="str" cm="1">
        <f t="array" ref="AT84">IFERROR(INDEX(CHOOSE(MATCH($X84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84" t="str" cm="1">
        <f t="array" ref="AU84">IFERROR(INDEX(CHOOSE(MATCH($X84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84" t="str" cm="1">
        <f t="array" ref="AV84">IFERROR(INDEX(CHOOSE(MATCH($X84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84" t="str" cm="1">
        <f t="array" ref="AW84">IFERROR(INDEX(CHOOSE(MATCH($X84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84" t="str" cm="1">
        <f t="array" ref="AX84">IFERROR(INDEX(CHOOSE(MATCH($X84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84" t="str" cm="1">
        <f t="array" ref="AY84">IFERROR(INDEX(CHOOSE(MATCH($X84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84" t="str" cm="1">
        <f t="array" ref="AZ84">IFERROR(INDEX(CHOOSE(MATCH($X84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84" t="str" cm="1">
        <f t="array" ref="BA84">IFERROR(INDEX(CHOOSE(MATCH($X84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84" t="str" cm="1">
        <f t="array" ref="BB84">IFERROR(INDEX(CHOOSE(MATCH($X84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84" t="str" cm="1">
        <f t="array" ref="BC84">IFERROR(INDEX(CHOOSE(MATCH($X84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84" t="str" cm="1">
        <f t="array" ref="BD84">IFERROR(INDEX(CHOOSE(MATCH($X84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84" t="str" cm="1">
        <f t="array" ref="BE84">IFERROR(INDEX(CHOOSE(MATCH($X84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84" t="str" cm="1">
        <f t="array" ref="BF84">IFERROR(INDEX(CHOOSE(MATCH($X84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84" t="str" cm="1">
        <f t="array" ref="BG84">IFERROR(INDEX(CHOOSE(MATCH($X84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84" s="4" t="e">
        <f>AVERAGE(Table2[[#This Row],[11-Mar]:[Column33]])</f>
        <v>#DIV/0!</v>
      </c>
      <c r="BJ84">
        <f>COUNT(Table2[[#This Row],[11-Mar]:[Column33]])</f>
        <v>0</v>
      </c>
    </row>
    <row r="85" spans="1:62" x14ac:dyDescent="0.45">
      <c r="A85" s="1"/>
      <c r="T85">
        <f t="shared" si="2"/>
        <v>0</v>
      </c>
      <c r="X85" t="s">
        <v>54</v>
      </c>
      <c r="Z85" s="6"/>
      <c r="AA85" s="10">
        <f>AVERAGE(Table2[[#This Row],[11-Mar]:[Column33]])</f>
        <v>1</v>
      </c>
      <c r="AC85" t="str" cm="1">
        <f t="array" ref="AC85">IFERROR(INDEX(CHOOSE(MATCH($X85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85" t="str" cm="1">
        <f t="array" ref="AD85">IFERROR(INDEX(CHOOSE(MATCH($X85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85">
        <v>1</v>
      </c>
      <c r="AF85" t="str" cm="1">
        <f t="array" ref="AF85">IFERROR(INDEX(CHOOSE(MATCH($X85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85" t="str" cm="1">
        <f t="array" ref="AG85">IFERROR(INDEX(CHOOSE(MATCH($X85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85" t="str" cm="1">
        <f t="array" ref="AH85">IFERROR(INDEX(CHOOSE(MATCH($X85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85">
        <v>1</v>
      </c>
      <c r="AJ85" t="str" cm="1">
        <f t="array" ref="AJ85">IFERROR(INDEX(CHOOSE(MATCH($X85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85" t="str" cm="1">
        <f t="array" ref="AK85">IFERROR(INDEX(CHOOSE(MATCH($X85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85" t="str" cm="1">
        <f t="array" ref="AL85">IFERROR(INDEX(CHOOSE(MATCH($X85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85" t="str" cm="1">
        <f t="array" ref="AM85">IFERROR(INDEX(CHOOSE(MATCH($X85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85" t="str" cm="1">
        <f t="array" ref="AN85">IFERROR(INDEX(CHOOSE(MATCH($X85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85" t="str" cm="1">
        <f t="array" ref="AO85">IFERROR(INDEX(CHOOSE(MATCH($X85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85" t="str" cm="1">
        <f t="array" ref="AP85">IFERROR(INDEX(CHOOSE(MATCH($X85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85" t="str" cm="1">
        <f t="array" ref="AQ85">IFERROR(INDEX(CHOOSE(MATCH($X85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85" t="str" cm="1">
        <f t="array" ref="AR85">IFERROR(INDEX(CHOOSE(MATCH($X85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85" t="str" cm="1">
        <f t="array" ref="AS85">IFERROR(INDEX(CHOOSE(MATCH($X85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85" t="str" cm="1">
        <f t="array" ref="AT85">IFERROR(INDEX(CHOOSE(MATCH($X85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85" t="str" cm="1">
        <f t="array" ref="AU85">IFERROR(INDEX(CHOOSE(MATCH($X85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85" t="str" cm="1">
        <f t="array" ref="AV85">IFERROR(INDEX(CHOOSE(MATCH($X85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85" t="str" cm="1">
        <f t="array" ref="AW85">IFERROR(INDEX(CHOOSE(MATCH($X85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85" t="str" cm="1">
        <f t="array" ref="AX85">IFERROR(INDEX(CHOOSE(MATCH($X85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85" t="str" cm="1">
        <f t="array" ref="AY85">IFERROR(INDEX(CHOOSE(MATCH($X85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85" t="str" cm="1">
        <f t="array" ref="AZ85">IFERROR(INDEX(CHOOSE(MATCH($X85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85" t="str" cm="1">
        <f t="array" ref="BA85">IFERROR(INDEX(CHOOSE(MATCH($X85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85" t="str" cm="1">
        <f t="array" ref="BB85">IFERROR(INDEX(CHOOSE(MATCH($X85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85" t="str" cm="1">
        <f t="array" ref="BC85">IFERROR(INDEX(CHOOSE(MATCH($X85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85" t="str" cm="1">
        <f t="array" ref="BD85">IFERROR(INDEX(CHOOSE(MATCH($X85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85" t="str" cm="1">
        <f t="array" ref="BE85">IFERROR(INDEX(CHOOSE(MATCH($X85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85" t="str" cm="1">
        <f t="array" ref="BF85">IFERROR(INDEX(CHOOSE(MATCH($X85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85" t="str" cm="1">
        <f t="array" ref="BG85">IFERROR(INDEX(CHOOSE(MATCH($X85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85" s="4">
        <f>AVERAGE(Table2[[#This Row],[11-Mar]:[Column33]])</f>
        <v>1</v>
      </c>
      <c r="BJ85">
        <f>COUNT(Table2[[#This Row],[11-Mar]:[Column33]])</f>
        <v>2</v>
      </c>
    </row>
    <row r="86" spans="1:62" x14ac:dyDescent="0.45">
      <c r="A86" s="1"/>
      <c r="T86">
        <f t="shared" si="2"/>
        <v>0</v>
      </c>
      <c r="X86" t="s">
        <v>78</v>
      </c>
      <c r="Z86" s="6"/>
      <c r="AA86" s="10" t="e">
        <f>AVERAGE(Table2[[#This Row],[11-Mar]:[Column33]])</f>
        <v>#DIV/0!</v>
      </c>
      <c r="AC86" t="str" cm="1">
        <f t="array" ref="AC86">IFERROR(INDEX(CHOOSE(MATCH($X86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86" t="str" cm="1">
        <f t="array" ref="AD86">IFERROR(INDEX(CHOOSE(MATCH($X86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86" t="str" cm="1">
        <f t="array" ref="AE86">IFERROR(INDEX(CHOOSE(MATCH($X86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86" t="str" cm="1">
        <f t="array" ref="AF86">IFERROR(INDEX(CHOOSE(MATCH($X86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86" t="str" cm="1">
        <f t="array" ref="AG86">IFERROR(INDEX(CHOOSE(MATCH($X86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86" t="str" cm="1">
        <f t="array" ref="AH86">IFERROR(INDEX(CHOOSE(MATCH($X86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86" t="str" cm="1">
        <f t="array" ref="AI86">IFERROR(INDEX(CHOOSE(MATCH($X86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86" t="str" cm="1">
        <f t="array" ref="AJ86">IFERROR(INDEX(CHOOSE(MATCH($X86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86" t="str" cm="1">
        <f t="array" ref="AK86">IFERROR(INDEX(CHOOSE(MATCH($X86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86" t="str" cm="1">
        <f t="array" ref="AL86">IFERROR(INDEX(CHOOSE(MATCH($X86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86" t="str" cm="1">
        <f t="array" ref="AM86">IFERROR(INDEX(CHOOSE(MATCH($X86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86" t="str" cm="1">
        <f t="array" ref="AN86">IFERROR(INDEX(CHOOSE(MATCH($X86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86" t="str" cm="1">
        <f t="array" ref="AO86">IFERROR(INDEX(CHOOSE(MATCH($X86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86" t="str" cm="1">
        <f t="array" ref="AP86">IFERROR(INDEX(CHOOSE(MATCH($X86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86" t="str" cm="1">
        <f t="array" ref="AQ86">IFERROR(INDEX(CHOOSE(MATCH($X86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86" t="str" cm="1">
        <f t="array" ref="AR86">IFERROR(INDEX(CHOOSE(MATCH($X86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86" t="str" cm="1">
        <f t="array" ref="AS86">IFERROR(INDEX(CHOOSE(MATCH($X86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86" t="str" cm="1">
        <f t="array" ref="AT86">IFERROR(INDEX(CHOOSE(MATCH($X86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86" t="str" cm="1">
        <f t="array" ref="AU86">IFERROR(INDEX(CHOOSE(MATCH($X86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86" t="str" cm="1">
        <f t="array" ref="AV86">IFERROR(INDEX(CHOOSE(MATCH($X86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86" t="str" cm="1">
        <f t="array" ref="AW86">IFERROR(INDEX(CHOOSE(MATCH($X86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86" t="str" cm="1">
        <f t="array" ref="AX86">IFERROR(INDEX(CHOOSE(MATCH($X86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86" t="str" cm="1">
        <f t="array" ref="AY86">IFERROR(INDEX(CHOOSE(MATCH($X86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86" t="str" cm="1">
        <f t="array" ref="AZ86">IFERROR(INDEX(CHOOSE(MATCH($X86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86" t="str" cm="1">
        <f t="array" ref="BA86">IFERROR(INDEX(CHOOSE(MATCH($X86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86" t="str" cm="1">
        <f t="array" ref="BB86">IFERROR(INDEX(CHOOSE(MATCH($X86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86" t="str" cm="1">
        <f t="array" ref="BC86">IFERROR(INDEX(CHOOSE(MATCH($X86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86" t="str" cm="1">
        <f t="array" ref="BD86">IFERROR(INDEX(CHOOSE(MATCH($X86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86" t="str" cm="1">
        <f t="array" ref="BE86">IFERROR(INDEX(CHOOSE(MATCH($X86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86" t="str" cm="1">
        <f t="array" ref="BF86">IFERROR(INDEX(CHOOSE(MATCH($X86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86" t="str" cm="1">
        <f t="array" ref="BG86">IFERROR(INDEX(CHOOSE(MATCH($X86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86" s="4" t="e">
        <f>AVERAGE(Table2[[#This Row],[11-Mar]:[Column33]])</f>
        <v>#DIV/0!</v>
      </c>
      <c r="BJ86">
        <f>COUNT(Table2[[#This Row],[11-Mar]:[Column33]])</f>
        <v>0</v>
      </c>
    </row>
    <row r="87" spans="1:62" x14ac:dyDescent="0.45">
      <c r="A87" s="1"/>
      <c r="T87">
        <f t="shared" si="2"/>
        <v>0</v>
      </c>
      <c r="X87" t="s">
        <v>45</v>
      </c>
      <c r="Z87" s="6"/>
      <c r="AA87" s="10">
        <f>AVERAGE(Table2[[#This Row],[11-Mar]:[Column33]])</f>
        <v>1.25</v>
      </c>
      <c r="AB87">
        <v>6</v>
      </c>
      <c r="AC87">
        <v>0</v>
      </c>
      <c r="AD87" t="str" cm="1">
        <f t="array" ref="AD87">IFERROR(INDEX(CHOOSE(MATCH($X87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87">
        <v>-1</v>
      </c>
      <c r="AF87" t="str" cm="1">
        <f t="array" ref="AF87">IFERROR(INDEX(CHOOSE(MATCH($X87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87" t="str" cm="1">
        <f t="array" ref="AG87">IFERROR(INDEX(CHOOSE(MATCH($X87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87">
        <v>0</v>
      </c>
      <c r="AI87" t="str" cm="1">
        <f t="array" ref="AI87">IFERROR(INDEX(CHOOSE(MATCH($X87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87" t="str" cm="1">
        <f t="array" ref="AJ87">IFERROR(INDEX(CHOOSE(MATCH($X87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87" t="str" cm="1">
        <f t="array" ref="AK87">IFERROR(INDEX(CHOOSE(MATCH($X87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87" t="str" cm="1">
        <f t="array" ref="AL87">IFERROR(INDEX(CHOOSE(MATCH($X87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87" t="str" cm="1">
        <f t="array" ref="AM87">IFERROR(INDEX(CHOOSE(MATCH($X87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87" t="str" cm="1">
        <f t="array" ref="AN87">IFERROR(INDEX(CHOOSE(MATCH($X87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87" t="str" cm="1">
        <f t="array" ref="AO87">IFERROR(INDEX(CHOOSE(MATCH($X87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87" t="str" cm="1">
        <f t="array" ref="AP87">IFERROR(INDEX(CHOOSE(MATCH($X87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87" t="str" cm="1">
        <f t="array" ref="AQ87">IFERROR(INDEX(CHOOSE(MATCH($X87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87" t="str" cm="1">
        <f t="array" ref="AR87">IFERROR(INDEX(CHOOSE(MATCH($X87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87" t="str" cm="1">
        <f t="array" ref="AS87">IFERROR(INDEX(CHOOSE(MATCH($X87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87" t="str" cm="1">
        <f t="array" ref="AT87">IFERROR(INDEX(CHOOSE(MATCH($X87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87" t="str" cm="1">
        <f t="array" ref="AU87">IFERROR(INDEX(CHOOSE(MATCH($X87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87" t="str" cm="1">
        <f t="array" ref="AV87">IFERROR(INDEX(CHOOSE(MATCH($X87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87" t="str" cm="1">
        <f t="array" ref="AW87">IFERROR(INDEX(CHOOSE(MATCH($X87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87" t="str" cm="1">
        <f t="array" ref="AX87">IFERROR(INDEX(CHOOSE(MATCH($X87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87" t="str" cm="1">
        <f t="array" ref="AY87">IFERROR(INDEX(CHOOSE(MATCH($X87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87" t="str" cm="1">
        <f t="array" ref="AZ87">IFERROR(INDEX(CHOOSE(MATCH($X87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87" t="str" cm="1">
        <f t="array" ref="BA87">IFERROR(INDEX(CHOOSE(MATCH($X87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87" t="str" cm="1">
        <f t="array" ref="BB87">IFERROR(INDEX(CHOOSE(MATCH($X87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87" t="str" cm="1">
        <f t="array" ref="BC87">IFERROR(INDEX(CHOOSE(MATCH($X87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87" t="str" cm="1">
        <f t="array" ref="BD87">IFERROR(INDEX(CHOOSE(MATCH($X87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87" t="str" cm="1">
        <f t="array" ref="BE87">IFERROR(INDEX(CHOOSE(MATCH($X87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87" t="str" cm="1">
        <f t="array" ref="BF87">IFERROR(INDEX(CHOOSE(MATCH($X87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87" t="str" cm="1">
        <f t="array" ref="BG87">IFERROR(INDEX(CHOOSE(MATCH($X87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87" s="4">
        <f>AVERAGE(Table2[[#This Row],[11-Mar]:[Column33]])</f>
        <v>1.25</v>
      </c>
      <c r="BJ87">
        <f>COUNT(Table2[[#This Row],[11-Mar]:[Column33]])</f>
        <v>4</v>
      </c>
    </row>
    <row r="88" spans="1:62" x14ac:dyDescent="0.45">
      <c r="A88" s="1"/>
      <c r="T88">
        <f t="shared" si="2"/>
        <v>0</v>
      </c>
      <c r="X88" t="s">
        <v>98</v>
      </c>
      <c r="Z88" s="6">
        <v>2</v>
      </c>
      <c r="AA88" s="10">
        <f>AVERAGE(Table2[[#This Row],[11-Mar]:[Column33]])</f>
        <v>0.5</v>
      </c>
      <c r="AC88" t="str" cm="1">
        <f t="array" ref="AC88">IFERROR(INDEX(CHOOSE(MATCH($X88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88">
        <v>0</v>
      </c>
      <c r="AE88">
        <v>-1</v>
      </c>
      <c r="AF88">
        <v>0</v>
      </c>
      <c r="AG88">
        <v>-1</v>
      </c>
      <c r="AH88">
        <v>4</v>
      </c>
      <c r="AI88">
        <v>1</v>
      </c>
      <c r="AJ88" t="str" cm="1">
        <f t="array" ref="AJ88">IFERROR(INDEX(CHOOSE(MATCH($X88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88" t="str" cm="1">
        <f t="array" ref="AK88">IFERROR(INDEX(CHOOSE(MATCH($X88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88" t="str" cm="1">
        <f t="array" ref="AL88">IFERROR(INDEX(CHOOSE(MATCH($X88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88" t="str" cm="1">
        <f t="array" ref="AM88">IFERROR(INDEX(CHOOSE(MATCH($X88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88" t="str" cm="1">
        <f t="array" ref="AN88">IFERROR(INDEX(CHOOSE(MATCH($X88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88" t="str" cm="1">
        <f t="array" ref="AO88">IFERROR(INDEX(CHOOSE(MATCH($X88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88" t="str" cm="1">
        <f t="array" ref="AP88">IFERROR(INDEX(CHOOSE(MATCH($X88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88" t="str" cm="1">
        <f t="array" ref="AQ88">IFERROR(INDEX(CHOOSE(MATCH($X88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88" t="str" cm="1">
        <f t="array" ref="AR88">IFERROR(INDEX(CHOOSE(MATCH($X88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88" t="str" cm="1">
        <f t="array" ref="AS88">IFERROR(INDEX(CHOOSE(MATCH($X88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88" t="str" cm="1">
        <f t="array" ref="AT88">IFERROR(INDEX(CHOOSE(MATCH($X88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88" t="str" cm="1">
        <f t="array" ref="AU88">IFERROR(INDEX(CHOOSE(MATCH($X88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88" t="str" cm="1">
        <f t="array" ref="AV88">IFERROR(INDEX(CHOOSE(MATCH($X88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88" t="str" cm="1">
        <f t="array" ref="AW88">IFERROR(INDEX(CHOOSE(MATCH($X88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88" t="str" cm="1">
        <f t="array" ref="AX88">IFERROR(INDEX(CHOOSE(MATCH($X88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88" t="str" cm="1">
        <f t="array" ref="AY88">IFERROR(INDEX(CHOOSE(MATCH($X88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88" t="str" cm="1">
        <f t="array" ref="AZ88">IFERROR(INDEX(CHOOSE(MATCH($X88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88" t="str" cm="1">
        <f t="array" ref="BA88">IFERROR(INDEX(CHOOSE(MATCH($X88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88" t="str" cm="1">
        <f t="array" ref="BB88">IFERROR(INDEX(CHOOSE(MATCH($X88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88" t="str" cm="1">
        <f t="array" ref="BC88">IFERROR(INDEX(CHOOSE(MATCH($X88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88" t="str" cm="1">
        <f t="array" ref="BD88">IFERROR(INDEX(CHOOSE(MATCH($X88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88" t="str" cm="1">
        <f t="array" ref="BE88">IFERROR(INDEX(CHOOSE(MATCH($X88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88" t="str" cm="1">
        <f t="array" ref="BF88">IFERROR(INDEX(CHOOSE(MATCH($X88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88" t="str" cm="1">
        <f t="array" ref="BG88">IFERROR(INDEX(CHOOSE(MATCH($X88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88" s="4">
        <f>AVERAGE(Table2[[#This Row],[11-Mar]:[Column33]])</f>
        <v>0.5</v>
      </c>
      <c r="BJ88">
        <f>COUNT(Table2[[#This Row],[11-Mar]:[Column33]])</f>
        <v>6</v>
      </c>
    </row>
    <row r="89" spans="1:62" x14ac:dyDescent="0.45">
      <c r="A89" s="1"/>
      <c r="T89">
        <f t="shared" si="2"/>
        <v>0</v>
      </c>
      <c r="X89" t="s">
        <v>35</v>
      </c>
      <c r="Z89" s="6"/>
      <c r="AA89" s="10" t="e">
        <f>AVERAGE(Table2[[#This Row],[11-Mar]:[Column33]])</f>
        <v>#DIV/0!</v>
      </c>
      <c r="AC89" t="str" cm="1">
        <f t="array" ref="AC89">IFERROR(INDEX(CHOOSE(MATCH($X89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89" t="str" cm="1">
        <f t="array" ref="AD89">IFERROR(INDEX(CHOOSE(MATCH($X89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89" t="str" cm="1">
        <f t="array" ref="AE89">IFERROR(INDEX(CHOOSE(MATCH($X89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89" t="str" cm="1">
        <f t="array" ref="AF89">IFERROR(INDEX(CHOOSE(MATCH($X89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89" t="str" cm="1">
        <f t="array" ref="AG89">IFERROR(INDEX(CHOOSE(MATCH($X89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89" t="str" cm="1">
        <f t="array" ref="AH89">IFERROR(INDEX(CHOOSE(MATCH($X89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89" t="str" cm="1">
        <f t="array" ref="AI89">IFERROR(INDEX(CHOOSE(MATCH($X89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89" t="str" cm="1">
        <f t="array" ref="AJ89">IFERROR(INDEX(CHOOSE(MATCH($X89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89" t="str" cm="1">
        <f t="array" ref="AK89">IFERROR(INDEX(CHOOSE(MATCH($X89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89" t="str" cm="1">
        <f t="array" ref="AL89">IFERROR(INDEX(CHOOSE(MATCH($X89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89" t="str" cm="1">
        <f t="array" ref="AM89">IFERROR(INDEX(CHOOSE(MATCH($X89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89" t="str" cm="1">
        <f t="array" ref="AN89">IFERROR(INDEX(CHOOSE(MATCH($X89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89" t="str" cm="1">
        <f t="array" ref="AO89">IFERROR(INDEX(CHOOSE(MATCH($X89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89" t="str" cm="1">
        <f t="array" ref="AP89">IFERROR(INDEX(CHOOSE(MATCH($X89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89" t="str" cm="1">
        <f t="array" ref="AQ89">IFERROR(INDEX(CHOOSE(MATCH($X89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89" t="str" cm="1">
        <f t="array" ref="AR89">IFERROR(INDEX(CHOOSE(MATCH($X89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89" t="str" cm="1">
        <f t="array" ref="AS89">IFERROR(INDEX(CHOOSE(MATCH($X89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89" t="str" cm="1">
        <f t="array" ref="AT89">IFERROR(INDEX(CHOOSE(MATCH($X89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89" t="str" cm="1">
        <f t="array" ref="AU89">IFERROR(INDEX(CHOOSE(MATCH($X89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89" t="str" cm="1">
        <f t="array" ref="AV89">IFERROR(INDEX(CHOOSE(MATCH($X89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89" t="str" cm="1">
        <f t="array" ref="AW89">IFERROR(INDEX(CHOOSE(MATCH($X89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89" t="str" cm="1">
        <f t="array" ref="AX89">IFERROR(INDEX(CHOOSE(MATCH($X89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89" t="str" cm="1">
        <f t="array" ref="AY89">IFERROR(INDEX(CHOOSE(MATCH($X89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89" t="str" cm="1">
        <f t="array" ref="AZ89">IFERROR(INDEX(CHOOSE(MATCH($X89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89" t="str" cm="1">
        <f t="array" ref="BA89">IFERROR(INDEX(CHOOSE(MATCH($X89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89" t="str" cm="1">
        <f t="array" ref="BB89">IFERROR(INDEX(CHOOSE(MATCH($X89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89" t="str" cm="1">
        <f t="array" ref="BC89">IFERROR(INDEX(CHOOSE(MATCH($X89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89" t="str" cm="1">
        <f t="array" ref="BD89">IFERROR(INDEX(CHOOSE(MATCH($X89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89" t="str" cm="1">
        <f t="array" ref="BE89">IFERROR(INDEX(CHOOSE(MATCH($X89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89" t="str" cm="1">
        <f t="array" ref="BF89">IFERROR(INDEX(CHOOSE(MATCH($X89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89" t="str" cm="1">
        <f t="array" ref="BG89">IFERROR(INDEX(CHOOSE(MATCH($X89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89" s="4" t="e">
        <f>AVERAGE(Table2[[#This Row],[11-Mar]:[Column33]])</f>
        <v>#DIV/0!</v>
      </c>
      <c r="BJ89">
        <f>COUNT(Table2[[#This Row],[11-Mar]:[Column33]])</f>
        <v>0</v>
      </c>
    </row>
    <row r="90" spans="1:62" x14ac:dyDescent="0.45">
      <c r="A90" s="1"/>
      <c r="T90">
        <f t="shared" si="2"/>
        <v>0</v>
      </c>
      <c r="X90" t="s">
        <v>149</v>
      </c>
      <c r="Z90" s="6"/>
      <c r="AA90" s="10">
        <f>AVERAGE(Table2[[#This Row],[11-Mar]:[Column33]])</f>
        <v>0</v>
      </c>
      <c r="AC90" t="str" cm="1">
        <f t="array" ref="AC90">IFERROR(INDEX(CHOOSE(MATCH($X90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90" t="str" cm="1">
        <f t="array" ref="AD90">IFERROR(INDEX(CHOOSE(MATCH($X90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90">
        <v>0</v>
      </c>
      <c r="AF90" t="str" cm="1">
        <f t="array" ref="AF90">IFERROR(INDEX(CHOOSE(MATCH($X90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90" t="str" cm="1">
        <f t="array" ref="AG90">IFERROR(INDEX(CHOOSE(MATCH($X90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90" t="str" cm="1">
        <f t="array" ref="AH90">IFERROR(INDEX(CHOOSE(MATCH($X90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90" t="str" cm="1">
        <f t="array" ref="AI90">IFERROR(INDEX(CHOOSE(MATCH($X90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90" t="str" cm="1">
        <f t="array" ref="AJ90">IFERROR(INDEX(CHOOSE(MATCH($X90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90" t="str" cm="1">
        <f t="array" ref="AK90">IFERROR(INDEX(CHOOSE(MATCH($X90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90" t="str" cm="1">
        <f t="array" ref="AL90">IFERROR(INDEX(CHOOSE(MATCH($X90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90" t="str" cm="1">
        <f t="array" ref="AM90">IFERROR(INDEX(CHOOSE(MATCH($X90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90" t="str" cm="1">
        <f t="array" ref="AN90">IFERROR(INDEX(CHOOSE(MATCH($X90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90" t="str" cm="1">
        <f t="array" ref="AO90">IFERROR(INDEX(CHOOSE(MATCH($X90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90" t="str" cm="1">
        <f t="array" ref="AP90">IFERROR(INDEX(CHOOSE(MATCH($X90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90" t="str" cm="1">
        <f t="array" ref="AQ90">IFERROR(INDEX(CHOOSE(MATCH($X90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90" t="str" cm="1">
        <f t="array" ref="AR90">IFERROR(INDEX(CHOOSE(MATCH($X90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90" t="str" cm="1">
        <f t="array" ref="AS90">IFERROR(INDEX(CHOOSE(MATCH($X90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90" t="str" cm="1">
        <f t="array" ref="AT90">IFERROR(INDEX(CHOOSE(MATCH($X90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90" t="str" cm="1">
        <f t="array" ref="AU90">IFERROR(INDEX(CHOOSE(MATCH($X90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90" t="str" cm="1">
        <f t="array" ref="AV90">IFERROR(INDEX(CHOOSE(MATCH($X90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90" t="str" cm="1">
        <f t="array" ref="AW90">IFERROR(INDEX(CHOOSE(MATCH($X90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90" t="str" cm="1">
        <f t="array" ref="AX90">IFERROR(INDEX(CHOOSE(MATCH($X90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90" t="str" cm="1">
        <f t="array" ref="AY90">IFERROR(INDEX(CHOOSE(MATCH($X90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90" t="str" cm="1">
        <f t="array" ref="AZ90">IFERROR(INDEX(CHOOSE(MATCH($X90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90" t="str" cm="1">
        <f t="array" ref="BA90">IFERROR(INDEX(CHOOSE(MATCH($X90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90" t="str" cm="1">
        <f t="array" ref="BB90">IFERROR(INDEX(CHOOSE(MATCH($X90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90" t="str" cm="1">
        <f t="array" ref="BC90">IFERROR(INDEX(CHOOSE(MATCH($X90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90" t="str" cm="1">
        <f t="array" ref="BD90">IFERROR(INDEX(CHOOSE(MATCH($X90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90" t="str" cm="1">
        <f t="array" ref="BE90">IFERROR(INDEX(CHOOSE(MATCH($X90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90" t="str" cm="1">
        <f t="array" ref="BF90">IFERROR(INDEX(CHOOSE(MATCH($X90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90" t="str" cm="1">
        <f t="array" ref="BG90">IFERROR(INDEX(CHOOSE(MATCH($X90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  <c r="BI90" s="4">
        <f>AVERAGE(Table2[[#This Row],[11-Mar]:[Column33]])</f>
        <v>0</v>
      </c>
      <c r="BJ90">
        <f>COUNT(Table2[[#This Row],[11-Mar]:[Column33]])</f>
        <v>1</v>
      </c>
    </row>
    <row r="91" spans="1:62" x14ac:dyDescent="0.45">
      <c r="A91" s="1"/>
      <c r="T91">
        <f t="shared" si="2"/>
        <v>0</v>
      </c>
      <c r="Z91" s="6"/>
      <c r="AA91" s="22" t="e">
        <f>AVERAGE(Table2[[#This Row],[11-Mar]:[15-Jul]])</f>
        <v>#DIV/0!</v>
      </c>
      <c r="BI91" s="4" t="e">
        <f>AVERAGE(Table2[[#This Row],[11-Mar]:[24-Jun]])</f>
        <v>#DIV/0!</v>
      </c>
      <c r="BJ91">
        <f>COUNT(Table2[[#This Row],[11-Mar]:[Column33]])</f>
        <v>0</v>
      </c>
    </row>
    <row r="92" spans="1:62" x14ac:dyDescent="0.45">
      <c r="A92" s="1"/>
      <c r="T92">
        <f t="shared" si="2"/>
        <v>0</v>
      </c>
      <c r="Z92" s="6"/>
      <c r="AA92" s="22" t="e">
        <f>AVERAGE(Table2[[#This Row],[11-Mar]:[15-Jul]])</f>
        <v>#DIV/0!</v>
      </c>
      <c r="BI92" s="4" t="e">
        <f>AVERAGE(Table2[[#This Row],[11-Mar]:[24-Jun]])</f>
        <v>#DIV/0!</v>
      </c>
      <c r="BJ92">
        <f>COUNT(Table2[[#This Row],[11-Mar]:[Column33]])</f>
        <v>0</v>
      </c>
    </row>
    <row r="93" spans="1:62" x14ac:dyDescent="0.45">
      <c r="A93" s="1"/>
      <c r="T93">
        <f t="shared" si="2"/>
        <v>0</v>
      </c>
      <c r="Z93" s="6"/>
      <c r="AA93" s="22" t="e">
        <f>AVERAGE(Table2[[#This Row],[11-Mar]:[15-Jul]])</f>
        <v>#DIV/0!</v>
      </c>
      <c r="BI93" s="4" t="e">
        <f>AVERAGE(Table2[[#This Row],[11-Mar]:[24-Jun]])</f>
        <v>#DIV/0!</v>
      </c>
      <c r="BJ93">
        <f>COUNT(Table2[[#This Row],[11-Mar]:[Column33]])</f>
        <v>0</v>
      </c>
    </row>
    <row r="94" spans="1:62" x14ac:dyDescent="0.45">
      <c r="A94" s="1"/>
      <c r="T94">
        <f t="shared" si="2"/>
        <v>0</v>
      </c>
      <c r="Z94" s="6"/>
      <c r="AA94" s="22" t="e">
        <f>AVERAGE(Table2[[#This Row],[11-Mar]:[15-Jul]])</f>
        <v>#DIV/0!</v>
      </c>
      <c r="BI94" s="4" t="e">
        <f>AVERAGE(Table2[[#This Row],[11-Mar]:[24-Jun]])</f>
        <v>#DIV/0!</v>
      </c>
      <c r="BJ94">
        <f>COUNT(Table2[[#This Row],[11-Mar]:[Column33]])</f>
        <v>0</v>
      </c>
    </row>
    <row r="95" spans="1:62" x14ac:dyDescent="0.45">
      <c r="A95" s="1"/>
      <c r="T95">
        <f t="shared" si="2"/>
        <v>0</v>
      </c>
      <c r="X95" t="s">
        <v>108</v>
      </c>
      <c r="Z95" s="6"/>
      <c r="AA95" s="22"/>
      <c r="AC95" t="str" cm="1">
        <f t="array" ref="AC95">IFERROR(INDEX(CHOOSE(MATCH($X95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95" t="str" cm="1">
        <f t="array" ref="AD95">IFERROR(INDEX(CHOOSE(MATCH($X95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95" t="str" cm="1">
        <f t="array" ref="AE95">IFERROR(INDEX(CHOOSE(MATCH($X95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95" t="str" cm="1">
        <f t="array" ref="AF95">IFERROR(INDEX(CHOOSE(MATCH($X95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95" t="str" cm="1">
        <f t="array" ref="AG95">IFERROR(INDEX(CHOOSE(MATCH($X95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95" t="str" cm="1">
        <f t="array" ref="AH95">IFERROR(INDEX(CHOOSE(MATCH($X95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95" t="str" cm="1">
        <f t="array" ref="AI95">IFERROR(INDEX(CHOOSE(MATCH($X95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95" t="str" cm="1">
        <f t="array" ref="AJ95">IFERROR(INDEX(CHOOSE(MATCH($X95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95" t="str" cm="1">
        <f t="array" ref="AK95">IFERROR(INDEX(CHOOSE(MATCH($X95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95" t="str" cm="1">
        <f t="array" ref="AL95">IFERROR(INDEX(CHOOSE(MATCH($X95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95" t="str" cm="1">
        <f t="array" ref="AM95">IFERROR(INDEX(CHOOSE(MATCH($X95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95" t="str" cm="1">
        <f t="array" ref="AN95">IFERROR(INDEX(CHOOSE(MATCH($X95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95" t="str" cm="1">
        <f t="array" ref="AO95">IFERROR(INDEX(CHOOSE(MATCH($X95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95" t="str" cm="1">
        <f t="array" ref="AP95">IFERROR(INDEX(CHOOSE(MATCH($X95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95" t="str" cm="1">
        <f t="array" ref="AQ95">IFERROR(INDEX(CHOOSE(MATCH($X95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95" t="str" cm="1">
        <f t="array" ref="AR95">IFERROR(INDEX(CHOOSE(MATCH($X95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95" t="str" cm="1">
        <f t="array" ref="AS95">IFERROR(INDEX(CHOOSE(MATCH($X95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95" t="str" cm="1">
        <f t="array" ref="AT95">IFERROR(INDEX(CHOOSE(MATCH($X95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95" t="str" cm="1">
        <f t="array" ref="AU95">IFERROR(INDEX(CHOOSE(MATCH($X95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95" t="str" cm="1">
        <f t="array" ref="AV95">IFERROR(INDEX(CHOOSE(MATCH($X95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95" t="str" cm="1">
        <f t="array" ref="AW95">IFERROR(INDEX(CHOOSE(MATCH($X95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95" t="str" cm="1">
        <f t="array" ref="AX95">IFERROR(INDEX(CHOOSE(MATCH($X95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95" t="str" cm="1">
        <f t="array" ref="AY95">IFERROR(INDEX(CHOOSE(MATCH($X95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95" t="str" cm="1">
        <f t="array" ref="AZ95">IFERROR(INDEX(CHOOSE(MATCH($X95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95" t="str" cm="1">
        <f t="array" ref="BA95">IFERROR(INDEX(CHOOSE(MATCH($X95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95" t="str" cm="1">
        <f t="array" ref="BB95">IFERROR(INDEX(CHOOSE(MATCH($X95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95" t="str" cm="1">
        <f t="array" ref="BC95">IFERROR(INDEX(CHOOSE(MATCH($X95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95" t="str" cm="1">
        <f t="array" ref="BD95">IFERROR(INDEX(CHOOSE(MATCH($X95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95" t="str" cm="1">
        <f t="array" ref="BE95">IFERROR(INDEX(CHOOSE(MATCH($X95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95" t="str" cm="1">
        <f t="array" ref="BF95">IFERROR(INDEX(CHOOSE(MATCH($X95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95" t="str" cm="1">
        <f t="array" ref="BG95">IFERROR(INDEX(CHOOSE(MATCH($X95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</row>
    <row r="96" spans="1:62" x14ac:dyDescent="0.45">
      <c r="A96" s="1"/>
      <c r="T96">
        <f t="shared" si="2"/>
        <v>0</v>
      </c>
      <c r="X96" t="s">
        <v>109</v>
      </c>
      <c r="AC96" t="str" cm="1">
        <f t="array" ref="AC96">IFERROR(INDEX(CHOOSE(MATCH($X96,INDEX($B:$R,MATCH(AC$1,$A:$A,0),{1,4,7,10,13,16}),0),INDEX($C:$C,MATCH(AC$1,$A:$A,0)),INDEX($F:$F,MATCH(AC$1,$A:$A,0)),INDEX($I:$I,MATCH(AC$1,$A:$A,0)),INDEX($L:$L,MATCH(AC$1,$A:$A,0)),INDEX($O:$O,MATCH(AC$1,$A:$A,0)),INDEX($R:$R,MATCH(AC$1,$A:$A,0))),1),"")</f>
        <v/>
      </c>
      <c r="AD96" t="str" cm="1">
        <f t="array" ref="AD96">IFERROR(INDEX(CHOOSE(MATCH($X96,INDEX($B:$R,MATCH(AD$1,$A:$A,0),{1,4,7,10,13,16}),0),INDEX($C:$C,MATCH(AD$1,$A:$A,0)),INDEX($F:$F,MATCH(AD$1,$A:$A,0)),INDEX($I:$I,MATCH(AD$1,$A:$A,0)),INDEX($L:$L,MATCH(AD$1,$A:$A,0)),INDEX($O:$O,MATCH(AD$1,$A:$A,0)),INDEX($R:$R,MATCH(AD$1,$A:$A,0))),1),"")</f>
        <v/>
      </c>
      <c r="AE96" t="str" cm="1">
        <f t="array" ref="AE96">IFERROR(INDEX(CHOOSE(MATCH($X96,INDEX($B:$R,MATCH(AE$1,$A:$A,0),{1,4,7,10,13,16}),0),INDEX($C:$C,MATCH(AE$1,$A:$A,0)),INDEX($F:$F,MATCH(AE$1,$A:$A,0)),INDEX($I:$I,MATCH(AE$1,$A:$A,0)),INDEX($L:$L,MATCH(AE$1,$A:$A,0)),INDEX($O:$O,MATCH(AE$1,$A:$A,0)),INDEX($R:$R,MATCH(AE$1,$A:$A,0))),1),"")</f>
        <v/>
      </c>
      <c r="AF96" t="str" cm="1">
        <f t="array" ref="AF96">IFERROR(INDEX(CHOOSE(MATCH($X96,INDEX($B:$R,MATCH(AF$1,$A:$A,0),{1,4,7,10,13,16}),0),INDEX($C:$C,MATCH(AF$1,$A:$A,0)),INDEX($F:$F,MATCH(AF$1,$A:$A,0)),INDEX($I:$I,MATCH(AF$1,$A:$A,0)),INDEX($L:$L,MATCH(AF$1,$A:$A,0)),INDEX($O:$O,MATCH(AF$1,$A:$A,0)),INDEX($R:$R,MATCH(AF$1,$A:$A,0))),1),"")</f>
        <v/>
      </c>
      <c r="AG96" t="str" cm="1">
        <f t="array" ref="AG96">IFERROR(INDEX(CHOOSE(MATCH($X96,INDEX($B:$R,MATCH(AG$1,$A:$A,0),{1,4,7,10,13,16}),0),INDEX($C:$C,MATCH(AG$1,$A:$A,0)),INDEX($F:$F,MATCH(AG$1,$A:$A,0)),INDEX($I:$I,MATCH(AG$1,$A:$A,0)),INDEX($L:$L,MATCH(AG$1,$A:$A,0)),INDEX($O:$O,MATCH(AG$1,$A:$A,0)),INDEX($R:$R,MATCH(AG$1,$A:$A,0))),1),"")</f>
        <v/>
      </c>
      <c r="AH96" t="str" cm="1">
        <f t="array" ref="AH96">IFERROR(INDEX(CHOOSE(MATCH($X96,INDEX($B:$R,MATCH(AH$1,$A:$A,0),{1,4,7,10,13,16}),0),INDEX($C:$C,MATCH(AH$1,$A:$A,0)),INDEX($F:$F,MATCH(AH$1,$A:$A,0)),INDEX($I:$I,MATCH(AH$1,$A:$A,0)),INDEX($L:$L,MATCH(AH$1,$A:$A,0)),INDEX($O:$O,MATCH(AH$1,$A:$A,0)),INDEX($R:$R,MATCH(AH$1,$A:$A,0))),1),"")</f>
        <v/>
      </c>
      <c r="AI96" t="str" cm="1">
        <f t="array" ref="AI96">IFERROR(INDEX(CHOOSE(MATCH($X96,INDEX($B:$R,MATCH(AI$1,$A:$A,0),{1,4,7,10,13,16}),0),INDEX($C:$C,MATCH(AI$1,$A:$A,0)),INDEX($F:$F,MATCH(AI$1,$A:$A,0)),INDEX($I:$I,MATCH(AI$1,$A:$A,0)),INDEX($L:$L,MATCH(AI$1,$A:$A,0)),INDEX($O:$O,MATCH(AI$1,$A:$A,0)),INDEX($R:$R,MATCH(AI$1,$A:$A,0))),1),"")</f>
        <v/>
      </c>
      <c r="AJ96" t="str" cm="1">
        <f t="array" ref="AJ96">IFERROR(INDEX(CHOOSE(MATCH($X96,INDEX($B:$R,MATCH(AJ$1,$A:$A,0),{1,4,7,10,13,16}),0),INDEX($C:$C,MATCH(AJ$1,$A:$A,0)),INDEX($F:$F,MATCH(AJ$1,$A:$A,0)),INDEX($I:$I,MATCH(AJ$1,$A:$A,0)),INDEX($L:$L,MATCH(AJ$1,$A:$A,0)),INDEX($O:$O,MATCH(AJ$1,$A:$A,0)),INDEX($R:$R,MATCH(AJ$1,$A:$A,0))),1),"")</f>
        <v/>
      </c>
      <c r="AK96" t="str" cm="1">
        <f t="array" ref="AK96">IFERROR(INDEX(CHOOSE(MATCH($X96,INDEX($B:$R,MATCH(AK$1,$A:$A,0),{1,4,7,10,13,16}),0),INDEX($C:$C,MATCH(AK$1,$A:$A,0)),INDEX($F:$F,MATCH(AK$1,$A:$A,0)),INDEX($I:$I,MATCH(AK$1,$A:$A,0)),INDEX($L:$L,MATCH(AK$1,$A:$A,0)),INDEX($O:$O,MATCH(AK$1,$A:$A,0)),INDEX($R:$R,MATCH(AK$1,$A:$A,0))),1),"")</f>
        <v/>
      </c>
      <c r="AL96" t="str" cm="1">
        <f t="array" ref="AL96">IFERROR(INDEX(CHOOSE(MATCH($X96,INDEX($B:$R,MATCH(AL$1,$A:$A,0),{1,4,7,10,13,16}),0),INDEX($C:$C,MATCH(AL$1,$A:$A,0)),INDEX($F:$F,MATCH(AL$1,$A:$A,0)),INDEX($I:$I,MATCH(AL$1,$A:$A,0)),INDEX($L:$L,MATCH(AL$1,$A:$A,0)),INDEX($O:$O,MATCH(AL$1,$A:$A,0)),INDEX($R:$R,MATCH(AL$1,$A:$A,0))),1),"")</f>
        <v/>
      </c>
      <c r="AM96" t="str" cm="1">
        <f t="array" ref="AM96">IFERROR(INDEX(CHOOSE(MATCH($X96,INDEX($B:$R,MATCH(AM$1,$A:$A,0),{1,4,7,10,13,16}),0),INDEX($C:$C,MATCH(AM$1,$A:$A,0)),INDEX($F:$F,MATCH(AM$1,$A:$A,0)),INDEX($I:$I,MATCH(AM$1,$A:$A,0)),INDEX($L:$L,MATCH(AM$1,$A:$A,0)),INDEX($O:$O,MATCH(AM$1,$A:$A,0)),INDEX($R:$R,MATCH(AM$1,$A:$A,0))),1),"")</f>
        <v/>
      </c>
      <c r="AN96" t="str" cm="1">
        <f t="array" ref="AN96">IFERROR(INDEX(CHOOSE(MATCH($X96,INDEX($B:$R,MATCH(AN$1,$A:$A,0),{1,4,7,10,13,16}),0),INDEX($C:$C,MATCH(AN$1,$A:$A,0)),INDEX($F:$F,MATCH(AN$1,$A:$A,0)),INDEX($I:$I,MATCH(AN$1,$A:$A,0)),INDEX($L:$L,MATCH(AN$1,$A:$A,0)),INDEX($O:$O,MATCH(AN$1,$A:$A,0)),INDEX($R:$R,MATCH(AN$1,$A:$A,0))),1),"")</f>
        <v/>
      </c>
      <c r="AO96" t="str" cm="1">
        <f t="array" ref="AO96">IFERROR(INDEX(CHOOSE(MATCH($X96,INDEX($B:$R,MATCH(AO$1,$A:$A,0),{1,4,7,10,13,16}),0),INDEX($C:$C,MATCH(AO$1,$A:$A,0)),INDEX($F:$F,MATCH(AO$1,$A:$A,0)),INDEX($I:$I,MATCH(AO$1,$A:$A,0)),INDEX($L:$L,MATCH(AO$1,$A:$A,0)),INDEX($O:$O,MATCH(AO$1,$A:$A,0)),INDEX($R:$R,MATCH(AO$1,$A:$A,0))),1),"")</f>
        <v/>
      </c>
      <c r="AP96" t="str" cm="1">
        <f t="array" ref="AP96">IFERROR(INDEX(CHOOSE(MATCH($X96,INDEX($B:$R,MATCH(AP$1,$A:$A,0),{1,4,7,10,13,16}),0),INDEX($C:$C,MATCH(AP$1,$A:$A,0)),INDEX($F:$F,MATCH(AP$1,$A:$A,0)),INDEX($I:$I,MATCH(AP$1,$A:$A,0)),INDEX($L:$L,MATCH(AP$1,$A:$A,0)),INDEX($O:$O,MATCH(AP$1,$A:$A,0)),INDEX($R:$R,MATCH(AP$1,$A:$A,0))),1),"")</f>
        <v/>
      </c>
      <c r="AQ96" t="str" cm="1">
        <f t="array" ref="AQ96">IFERROR(INDEX(CHOOSE(MATCH($X96,INDEX($B:$R,MATCH(AQ$1,$A:$A,0),{1,4,7,10,13,16}),0),INDEX($C:$C,MATCH(AQ$1,$A:$A,0)),INDEX($F:$F,MATCH(AQ$1,$A:$A,0)),INDEX($I:$I,MATCH(AQ$1,$A:$A,0)),INDEX($L:$L,MATCH(AQ$1,$A:$A,0)),INDEX($O:$O,MATCH(AQ$1,$A:$A,0)),INDEX($R:$R,MATCH(AQ$1,$A:$A,0))),1),"")</f>
        <v/>
      </c>
      <c r="AR96" t="str" cm="1">
        <f t="array" ref="AR96">IFERROR(INDEX(CHOOSE(MATCH($X96,INDEX($B:$R,MATCH(AR$1,$A:$A,0),{1,4,7,10,13,16}),0),INDEX($C:$C,MATCH(AR$1,$A:$A,0)),INDEX($F:$F,MATCH(AR$1,$A:$A,0)),INDEX($I:$I,MATCH(AR$1,$A:$A,0)),INDEX($L:$L,MATCH(AR$1,$A:$A,0)),INDEX($O:$O,MATCH(AR$1,$A:$A,0)),INDEX($R:$R,MATCH(AR$1,$A:$A,0))),1),"")</f>
        <v/>
      </c>
      <c r="AS96" t="str" cm="1">
        <f t="array" ref="AS96">IFERROR(INDEX(CHOOSE(MATCH($X96,INDEX($B:$R,MATCH(AS$1,$A:$A,0),{1,4,7,10,13,16}),0),INDEX($C:$C,MATCH(AS$1,$A:$A,0)),INDEX($F:$F,MATCH(AS$1,$A:$A,0)),INDEX($I:$I,MATCH(AS$1,$A:$A,0)),INDEX($L:$L,MATCH(AS$1,$A:$A,0)),INDEX($O:$O,MATCH(AS$1,$A:$A,0)),INDEX($R:$R,MATCH(AS$1,$A:$A,0))),1),"")</f>
        <v/>
      </c>
      <c r="AT96" t="str" cm="1">
        <f t="array" ref="AT96">IFERROR(INDEX(CHOOSE(MATCH($X96,INDEX($B:$R,MATCH(AT$1,$A:$A,0),{1,4,7,10,13,16}),0),INDEX($C:$C,MATCH(AT$1,$A:$A,0)),INDEX($F:$F,MATCH(AT$1,$A:$A,0)),INDEX($I:$I,MATCH(AT$1,$A:$A,0)),INDEX($L:$L,MATCH(AT$1,$A:$A,0)),INDEX($O:$O,MATCH(AT$1,$A:$A,0)),INDEX($R:$R,MATCH(AT$1,$A:$A,0))),1),"")</f>
        <v/>
      </c>
      <c r="AU96" t="str" cm="1">
        <f t="array" ref="AU96">IFERROR(INDEX(CHOOSE(MATCH($X96,INDEX($B:$R,MATCH(AU$1,$A:$A,0),{1,4,7,10,13,16}),0),INDEX($C:$C,MATCH(AU$1,$A:$A,0)),INDEX($F:$F,MATCH(AU$1,$A:$A,0)),INDEX($I:$I,MATCH(AU$1,$A:$A,0)),INDEX($L:$L,MATCH(AU$1,$A:$A,0)),INDEX($O:$O,MATCH(AU$1,$A:$A,0)),INDEX($R:$R,MATCH(AU$1,$A:$A,0))),1),"")</f>
        <v/>
      </c>
      <c r="AV96" t="str" cm="1">
        <f t="array" ref="AV96">IFERROR(INDEX(CHOOSE(MATCH($X96,INDEX($B:$R,MATCH(AV$1,$A:$A,0),{1,4,7,10,13,16}),0),INDEX($C:$C,MATCH(AV$1,$A:$A,0)),INDEX($F:$F,MATCH(AV$1,$A:$A,0)),INDEX($I:$I,MATCH(AV$1,$A:$A,0)),INDEX($L:$L,MATCH(AV$1,$A:$A,0)),INDEX($O:$O,MATCH(AV$1,$A:$A,0)),INDEX($R:$R,MATCH(AV$1,$A:$A,0))),1),"")</f>
        <v/>
      </c>
      <c r="AW96" t="str" cm="1">
        <f t="array" ref="AW96">IFERROR(INDEX(CHOOSE(MATCH($X96,INDEX($B:$R,MATCH(AW$1,$A:$A,0),{1,4,7,10,13,16}),0),INDEX($C:$C,MATCH(AW$1,$A:$A,0)),INDEX($F:$F,MATCH(AW$1,$A:$A,0)),INDEX($I:$I,MATCH(AW$1,$A:$A,0)),INDEX($L:$L,MATCH(AW$1,$A:$A,0)),INDEX($O:$O,MATCH(AW$1,$A:$A,0)),INDEX($R:$R,MATCH(AW$1,$A:$A,0))),1),"")</f>
        <v/>
      </c>
      <c r="AX96" t="str" cm="1">
        <f t="array" ref="AX96">IFERROR(INDEX(CHOOSE(MATCH($X96,INDEX($B:$R,MATCH(AX$1,$A:$A,0),{1,4,7,10,13,16}),0),INDEX($C:$C,MATCH(AX$1,$A:$A,0)),INDEX($F:$F,MATCH(AX$1,$A:$A,0)),INDEX($I:$I,MATCH(AX$1,$A:$A,0)),INDEX($L:$L,MATCH(AX$1,$A:$A,0)),INDEX($O:$O,MATCH(AX$1,$A:$A,0)),INDEX($R:$R,MATCH(AX$1,$A:$A,0))),1),"")</f>
        <v/>
      </c>
      <c r="AY96" t="str" cm="1">
        <f t="array" ref="AY96">IFERROR(INDEX(CHOOSE(MATCH($X96,INDEX($B:$R,MATCH(AY$1,$A:$A,0),{1,4,7,10,13,16}),0),INDEX($C:$C,MATCH(AY$1,$A:$A,0)),INDEX($F:$F,MATCH(AY$1,$A:$A,0)),INDEX($I:$I,MATCH(AY$1,$A:$A,0)),INDEX($L:$L,MATCH(AY$1,$A:$A,0)),INDEX($O:$O,MATCH(AY$1,$A:$A,0)),INDEX($R:$R,MATCH(AY$1,$A:$A,0))),1),"")</f>
        <v/>
      </c>
      <c r="AZ96" t="str" cm="1">
        <f t="array" ref="AZ96">IFERROR(INDEX(CHOOSE(MATCH($X96,INDEX($B:$R,MATCH(AZ$1,$A:$A,0),{1,4,7,10,13,16}),0),INDEX($C:$C,MATCH(AZ$1,$A:$A,0)),INDEX($F:$F,MATCH(AZ$1,$A:$A,0)),INDEX($I:$I,MATCH(AZ$1,$A:$A,0)),INDEX($L:$L,MATCH(AZ$1,$A:$A,0)),INDEX($O:$O,MATCH(AZ$1,$A:$A,0)),INDEX($R:$R,MATCH(AZ$1,$A:$A,0))),1),"")</f>
        <v/>
      </c>
      <c r="BA96" t="str" cm="1">
        <f t="array" ref="BA96">IFERROR(INDEX(CHOOSE(MATCH($X96,INDEX($B:$R,MATCH(BA$1,$A:$A,0),{1,4,7,10,13,16}),0),INDEX($C:$C,MATCH(BA$1,$A:$A,0)),INDEX($F:$F,MATCH(BA$1,$A:$A,0)),INDEX($I:$I,MATCH(BA$1,$A:$A,0)),INDEX($L:$L,MATCH(BA$1,$A:$A,0)),INDEX($O:$O,MATCH(BA$1,$A:$A,0)),INDEX($R:$R,MATCH(BA$1,$A:$A,0))),1),"")</f>
        <v/>
      </c>
      <c r="BB96" t="str" cm="1">
        <f t="array" ref="BB96">IFERROR(INDEX(CHOOSE(MATCH($X96,INDEX($B:$R,MATCH(BB$1,$A:$A,0),{1,4,7,10,13,16}),0),INDEX($C:$C,MATCH(BB$1,$A:$A,0)),INDEX($F:$F,MATCH(BB$1,$A:$A,0)),INDEX($I:$I,MATCH(BB$1,$A:$A,0)),INDEX($L:$L,MATCH(BB$1,$A:$A,0)),INDEX($O:$O,MATCH(BB$1,$A:$A,0)),INDEX($R:$R,MATCH(BB$1,$A:$A,0))),1),"")</f>
        <v/>
      </c>
      <c r="BC96" t="str" cm="1">
        <f t="array" ref="BC96">IFERROR(INDEX(CHOOSE(MATCH($X96,INDEX($B:$R,MATCH(BC$1,$A:$A,0),{1,4,7,10,13,16}),0),INDEX($C:$C,MATCH(BC$1,$A:$A,0)),INDEX($F:$F,MATCH(BC$1,$A:$A,0)),INDEX($I:$I,MATCH(BC$1,$A:$A,0)),INDEX($L:$L,MATCH(BC$1,$A:$A,0)),INDEX($O:$O,MATCH(BC$1,$A:$A,0)),INDEX($R:$R,MATCH(BC$1,$A:$A,0))),1),"")</f>
        <v/>
      </c>
      <c r="BD96" t="str" cm="1">
        <f t="array" ref="BD96">IFERROR(INDEX(CHOOSE(MATCH($X96,INDEX($B:$R,MATCH(BD$1,$A:$A,0),{1,4,7,10,13,16}),0),INDEX($C:$C,MATCH(BD$1,$A:$A,0)),INDEX($F:$F,MATCH(BD$1,$A:$A,0)),INDEX($I:$I,MATCH(BD$1,$A:$A,0)),INDEX($L:$L,MATCH(BD$1,$A:$A,0)),INDEX($O:$O,MATCH(BD$1,$A:$A,0)),INDEX($R:$R,MATCH(BD$1,$A:$A,0))),1),"")</f>
        <v/>
      </c>
      <c r="BE96" t="str" cm="1">
        <f t="array" ref="BE96">IFERROR(INDEX(CHOOSE(MATCH($X96,INDEX($B:$R,MATCH(BE$1,$A:$A,0),{1,4,7,10,13,16}),0),INDEX($C:$C,MATCH(BE$1,$A:$A,0)),INDEX($F:$F,MATCH(BE$1,$A:$A,0)),INDEX($I:$I,MATCH(BE$1,$A:$A,0)),INDEX($L:$L,MATCH(BE$1,$A:$A,0)),INDEX($O:$O,MATCH(BE$1,$A:$A,0)),INDEX($R:$R,MATCH(BE$1,$A:$A,0))),1),"")</f>
        <v/>
      </c>
      <c r="BF96" t="str" cm="1">
        <f t="array" ref="BF96">IFERROR(INDEX(CHOOSE(MATCH($X96,INDEX($B:$R,MATCH(BF$1,$A:$A,0),{1,4,7,10,13,16}),0),INDEX($C:$C,MATCH(BF$1,$A:$A,0)),INDEX($F:$F,MATCH(BF$1,$A:$A,0)),INDEX($I:$I,MATCH(BF$1,$A:$A,0)),INDEX($L:$L,MATCH(BF$1,$A:$A,0)),INDEX($O:$O,MATCH(BF$1,$A:$A,0)),INDEX($R:$R,MATCH(BF$1,$A:$A,0))),1),"")</f>
        <v/>
      </c>
      <c r="BG96" t="str" cm="1">
        <f t="array" ref="BG96">IFERROR(INDEX(CHOOSE(MATCH($X96,INDEX($B:$R,MATCH(BG$1,$A:$A,0),{1,4,7,10,13,16}),0),INDEX($C:$C,MATCH(BG$1,$A:$A,0)),INDEX($F:$F,MATCH(BG$1,$A:$A,0)),INDEX($I:$I,MATCH(BG$1,$A:$A,0)),INDEX($L:$L,MATCH(BG$1,$A:$A,0)),INDEX($O:$O,MATCH(BG$1,$A:$A,0)),INDEX($R:$R,MATCH(BG$1,$A:$A,0))),1),"")</f>
        <v/>
      </c>
    </row>
    <row r="97" spans="1:20" x14ac:dyDescent="0.45">
      <c r="A97" s="1"/>
      <c r="T97">
        <f t="shared" si="2"/>
        <v>0</v>
      </c>
    </row>
    <row r="98" spans="1:20" x14ac:dyDescent="0.45">
      <c r="A98" s="1"/>
      <c r="T98">
        <f t="shared" si="2"/>
        <v>0</v>
      </c>
    </row>
    <row r="99" spans="1:20" x14ac:dyDescent="0.45">
      <c r="A99" s="1"/>
      <c r="T99">
        <f t="shared" si="2"/>
        <v>0</v>
      </c>
    </row>
    <row r="100" spans="1:20" x14ac:dyDescent="0.45">
      <c r="A100" s="1"/>
      <c r="T100">
        <f t="shared" si="2"/>
        <v>0</v>
      </c>
    </row>
    <row r="101" spans="1:20" x14ac:dyDescent="0.45">
      <c r="A101" s="1"/>
      <c r="T101">
        <f t="shared" si="2"/>
        <v>0</v>
      </c>
    </row>
    <row r="102" spans="1:20" x14ac:dyDescent="0.45">
      <c r="A102" s="1"/>
      <c r="T102">
        <f t="shared" si="2"/>
        <v>0</v>
      </c>
    </row>
    <row r="103" spans="1:20" x14ac:dyDescent="0.45">
      <c r="A103" s="1"/>
      <c r="T103">
        <f t="shared" si="2"/>
        <v>0</v>
      </c>
    </row>
    <row r="104" spans="1:20" x14ac:dyDescent="0.45">
      <c r="A104" s="1"/>
      <c r="T104">
        <f t="shared" si="2"/>
        <v>0</v>
      </c>
    </row>
    <row r="105" spans="1:20" x14ac:dyDescent="0.45">
      <c r="A105" s="1"/>
      <c r="T105">
        <f t="shared" si="2"/>
        <v>0</v>
      </c>
    </row>
    <row r="106" spans="1:20" x14ac:dyDescent="0.45">
      <c r="A106" s="1"/>
      <c r="T106">
        <f t="shared" si="2"/>
        <v>0</v>
      </c>
    </row>
    <row r="107" spans="1:20" x14ac:dyDescent="0.45">
      <c r="A107" s="1"/>
      <c r="T107">
        <f t="shared" si="2"/>
        <v>0</v>
      </c>
    </row>
    <row r="108" spans="1:20" x14ac:dyDescent="0.45">
      <c r="A108" s="1"/>
      <c r="T108">
        <f t="shared" si="2"/>
        <v>0</v>
      </c>
    </row>
    <row r="109" spans="1:20" x14ac:dyDescent="0.45">
      <c r="A109" s="1"/>
      <c r="T109">
        <f t="shared" si="2"/>
        <v>0</v>
      </c>
    </row>
    <row r="110" spans="1:20" x14ac:dyDescent="0.45">
      <c r="A110" s="1"/>
      <c r="T110">
        <f t="shared" si="2"/>
        <v>0</v>
      </c>
    </row>
    <row r="111" spans="1:20" x14ac:dyDescent="0.45">
      <c r="A111" s="1"/>
      <c r="T111">
        <f t="shared" si="2"/>
        <v>0</v>
      </c>
    </row>
    <row r="112" spans="1:20" x14ac:dyDescent="0.45">
      <c r="A112" s="1"/>
      <c r="T112">
        <f t="shared" si="2"/>
        <v>0</v>
      </c>
    </row>
    <row r="113" spans="1:20" x14ac:dyDescent="0.45">
      <c r="A113" s="1"/>
      <c r="T113">
        <f t="shared" si="2"/>
        <v>0</v>
      </c>
    </row>
    <row r="114" spans="1:20" x14ac:dyDescent="0.45">
      <c r="A114" s="1"/>
      <c r="T114">
        <f t="shared" si="2"/>
        <v>0</v>
      </c>
    </row>
    <row r="115" spans="1:20" x14ac:dyDescent="0.45">
      <c r="A115" s="1"/>
      <c r="T115">
        <f t="shared" si="2"/>
        <v>0</v>
      </c>
    </row>
    <row r="116" spans="1:20" x14ac:dyDescent="0.45">
      <c r="A116" s="1"/>
      <c r="T116">
        <f t="shared" si="2"/>
        <v>0</v>
      </c>
    </row>
    <row r="117" spans="1:20" x14ac:dyDescent="0.45">
      <c r="A117" s="1"/>
      <c r="T117">
        <f t="shared" si="2"/>
        <v>0</v>
      </c>
    </row>
    <row r="118" spans="1:20" x14ac:dyDescent="0.45">
      <c r="A118" s="1"/>
      <c r="T118">
        <f t="shared" si="2"/>
        <v>0</v>
      </c>
    </row>
    <row r="119" spans="1:20" x14ac:dyDescent="0.45">
      <c r="A119" s="1"/>
      <c r="T119">
        <f t="shared" si="2"/>
        <v>0</v>
      </c>
    </row>
    <row r="120" spans="1:20" x14ac:dyDescent="0.45">
      <c r="A120" s="1"/>
      <c r="T120">
        <f t="shared" si="2"/>
        <v>0</v>
      </c>
    </row>
    <row r="121" spans="1:20" x14ac:dyDescent="0.45">
      <c r="A121" s="1"/>
      <c r="T121">
        <f t="shared" si="2"/>
        <v>0</v>
      </c>
    </row>
    <row r="122" spans="1:20" x14ac:dyDescent="0.45">
      <c r="A122" s="1"/>
      <c r="T122">
        <f t="shared" si="2"/>
        <v>0</v>
      </c>
    </row>
    <row r="123" spans="1:20" x14ac:dyDescent="0.45">
      <c r="A123" s="1"/>
      <c r="T123">
        <f t="shared" si="2"/>
        <v>0</v>
      </c>
    </row>
    <row r="124" spans="1:20" x14ac:dyDescent="0.45">
      <c r="A124" s="1"/>
      <c r="T124">
        <f t="shared" si="2"/>
        <v>0</v>
      </c>
    </row>
    <row r="125" spans="1:20" x14ac:dyDescent="0.45">
      <c r="A125" s="1"/>
      <c r="T125">
        <f t="shared" si="2"/>
        <v>0</v>
      </c>
    </row>
    <row r="126" spans="1:20" x14ac:dyDescent="0.45">
      <c r="A126" s="1"/>
      <c r="T126">
        <f t="shared" si="2"/>
        <v>0</v>
      </c>
    </row>
    <row r="127" spans="1:20" x14ac:dyDescent="0.45">
      <c r="A127" s="1"/>
      <c r="T127">
        <f t="shared" si="2"/>
        <v>0</v>
      </c>
    </row>
    <row r="128" spans="1:20" x14ac:dyDescent="0.45">
      <c r="A128" s="1"/>
      <c r="T128">
        <f t="shared" si="2"/>
        <v>0</v>
      </c>
    </row>
    <row r="129" spans="1:20" x14ac:dyDescent="0.45">
      <c r="A129" s="1"/>
      <c r="T129">
        <f t="shared" si="2"/>
        <v>0</v>
      </c>
    </row>
    <row r="130" spans="1:20" x14ac:dyDescent="0.45">
      <c r="A130" s="1"/>
      <c r="T130">
        <f t="shared" si="2"/>
        <v>0</v>
      </c>
    </row>
    <row r="131" spans="1:20" x14ac:dyDescent="0.45">
      <c r="A131" s="1"/>
      <c r="T131">
        <f t="shared" ref="T131:T157" si="3">SUM(C131,F131,I131,L131,O131,R131)</f>
        <v>0</v>
      </c>
    </row>
    <row r="132" spans="1:20" x14ac:dyDescent="0.45">
      <c r="A132" s="1"/>
      <c r="T132">
        <f t="shared" si="3"/>
        <v>0</v>
      </c>
    </row>
    <row r="133" spans="1:20" x14ac:dyDescent="0.45">
      <c r="A133" s="1"/>
      <c r="T133">
        <f t="shared" si="3"/>
        <v>0</v>
      </c>
    </row>
    <row r="134" spans="1:20" x14ac:dyDescent="0.45">
      <c r="A134" s="1"/>
      <c r="T134">
        <f t="shared" si="3"/>
        <v>0</v>
      </c>
    </row>
    <row r="135" spans="1:20" x14ac:dyDescent="0.45">
      <c r="A135" s="1"/>
      <c r="T135">
        <f t="shared" si="3"/>
        <v>0</v>
      </c>
    </row>
    <row r="136" spans="1:20" x14ac:dyDescent="0.45">
      <c r="A136" s="1"/>
      <c r="T136">
        <f t="shared" si="3"/>
        <v>0</v>
      </c>
    </row>
    <row r="137" spans="1:20" x14ac:dyDescent="0.45">
      <c r="A137" s="1"/>
      <c r="T137">
        <f t="shared" si="3"/>
        <v>0</v>
      </c>
    </row>
    <row r="138" spans="1:20" x14ac:dyDescent="0.45">
      <c r="A138" s="1"/>
      <c r="T138">
        <f t="shared" si="3"/>
        <v>0</v>
      </c>
    </row>
    <row r="139" spans="1:20" x14ac:dyDescent="0.45">
      <c r="A139" s="1"/>
      <c r="T139">
        <f t="shared" si="3"/>
        <v>0</v>
      </c>
    </row>
    <row r="140" spans="1:20" x14ac:dyDescent="0.45">
      <c r="A140" s="1"/>
      <c r="T140">
        <f t="shared" si="3"/>
        <v>0</v>
      </c>
    </row>
    <row r="141" spans="1:20" x14ac:dyDescent="0.45">
      <c r="A141" s="1"/>
      <c r="T141">
        <f t="shared" si="3"/>
        <v>0</v>
      </c>
    </row>
    <row r="142" spans="1:20" x14ac:dyDescent="0.45">
      <c r="A142" s="1"/>
      <c r="T142">
        <f t="shared" si="3"/>
        <v>0</v>
      </c>
    </row>
    <row r="143" spans="1:20" x14ac:dyDescent="0.45">
      <c r="A143" s="1"/>
      <c r="T143">
        <f t="shared" si="3"/>
        <v>0</v>
      </c>
    </row>
    <row r="144" spans="1:20" x14ac:dyDescent="0.45">
      <c r="A144" s="1"/>
      <c r="T144">
        <f t="shared" si="3"/>
        <v>0</v>
      </c>
    </row>
    <row r="145" spans="1:20" x14ac:dyDescent="0.45">
      <c r="A145" s="1"/>
      <c r="T145">
        <f t="shared" si="3"/>
        <v>0</v>
      </c>
    </row>
    <row r="146" spans="1:20" x14ac:dyDescent="0.45">
      <c r="A146" s="1"/>
      <c r="T146">
        <f t="shared" si="3"/>
        <v>0</v>
      </c>
    </row>
    <row r="147" spans="1:20" x14ac:dyDescent="0.45">
      <c r="A147" s="1"/>
      <c r="T147">
        <f t="shared" si="3"/>
        <v>0</v>
      </c>
    </row>
    <row r="148" spans="1:20" x14ac:dyDescent="0.45">
      <c r="A148" s="1"/>
      <c r="T148">
        <f t="shared" si="3"/>
        <v>0</v>
      </c>
    </row>
    <row r="149" spans="1:20" x14ac:dyDescent="0.45">
      <c r="A149" s="1"/>
      <c r="T149">
        <f t="shared" si="3"/>
        <v>0</v>
      </c>
    </row>
    <row r="150" spans="1:20" x14ac:dyDescent="0.45">
      <c r="A150" s="1"/>
      <c r="T150">
        <f t="shared" si="3"/>
        <v>0</v>
      </c>
    </row>
    <row r="151" spans="1:20" x14ac:dyDescent="0.45">
      <c r="A151" s="1"/>
      <c r="T151">
        <f t="shared" si="3"/>
        <v>0</v>
      </c>
    </row>
    <row r="152" spans="1:20" x14ac:dyDescent="0.45">
      <c r="A152" s="1"/>
      <c r="T152">
        <f t="shared" si="3"/>
        <v>0</v>
      </c>
    </row>
    <row r="153" spans="1:20" x14ac:dyDescent="0.45">
      <c r="A153" s="1"/>
      <c r="T153">
        <f t="shared" si="3"/>
        <v>0</v>
      </c>
    </row>
    <row r="154" spans="1:20" x14ac:dyDescent="0.45">
      <c r="A154" s="1"/>
      <c r="T154">
        <f t="shared" si="3"/>
        <v>0</v>
      </c>
    </row>
    <row r="155" spans="1:20" x14ac:dyDescent="0.45">
      <c r="A155" s="1"/>
      <c r="T155">
        <f t="shared" si="3"/>
        <v>0</v>
      </c>
    </row>
    <row r="156" spans="1:20" x14ac:dyDescent="0.45">
      <c r="A156" s="1"/>
      <c r="T156">
        <f t="shared" si="3"/>
        <v>0</v>
      </c>
    </row>
    <row r="157" spans="1:20" x14ac:dyDescent="0.45">
      <c r="A157" s="1"/>
      <c r="T157">
        <f t="shared" si="3"/>
        <v>0</v>
      </c>
    </row>
  </sheetData>
  <dataConsolidate/>
  <phoneticPr fontId="2" type="noConversion"/>
  <dataValidations count="1">
    <dataValidation type="list" allowBlank="1" showInputMessage="1" showErrorMessage="1" sqref="E2:E157 H2:H157 K2:K157 N2:N157 Q2:Q157 B2:B157" xr:uid="{9BD522D0-C30C-41D1-AEFD-8B48B482CC2F}">
      <formula1>$X$2:$X$116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FAF6-E0C2-4FB0-8E47-F01C2E619BE2}">
  <dimension ref="A1:H91"/>
  <sheetViews>
    <sheetView topLeftCell="A12" workbookViewId="0">
      <selection activeCell="B37" sqref="B37"/>
    </sheetView>
  </sheetViews>
  <sheetFormatPr defaultRowHeight="14.25" x14ac:dyDescent="0.45"/>
  <cols>
    <col min="1" max="1" width="18.59765625" customWidth="1"/>
    <col min="2" max="2" width="9.86328125" customWidth="1"/>
    <col min="3" max="3" width="12.86328125" style="12" customWidth="1"/>
    <col min="4" max="4" width="8.3984375" style="12" customWidth="1"/>
    <col min="5" max="5" width="12.86328125" style="11" customWidth="1"/>
    <col min="7" max="7" width="20.59765625" customWidth="1"/>
  </cols>
  <sheetData>
    <row r="1" spans="1:5" ht="72.599999999999994" customHeight="1" x14ac:dyDescent="0.45">
      <c r="A1" s="13" t="s">
        <v>21</v>
      </c>
      <c r="B1" s="14" t="s">
        <v>23</v>
      </c>
      <c r="C1" s="15" t="s">
        <v>95</v>
      </c>
      <c r="D1" s="15" t="s">
        <v>96</v>
      </c>
      <c r="E1" s="16" t="s">
        <v>97</v>
      </c>
    </row>
    <row r="2" spans="1:5" ht="18" x14ac:dyDescent="0.55000000000000004">
      <c r="A2" s="21" t="str">
        <f>Table2[[#This Row],[Golfer]]</f>
        <v>Andrew George</v>
      </c>
      <c r="B2" s="17">
        <f>SUM(Table2[[#This Row],[Wins ]]+Table3[[#This Row],[2Pot]]*0.5)</f>
        <v>0.5</v>
      </c>
      <c r="C2" s="18">
        <f>SUM(Table2[[#This Row],[number of rounds]])</f>
        <v>3</v>
      </c>
      <c r="D2" s="18">
        <f>SUM(Table2[[#This Row],[2 Pot]])</f>
        <v>1</v>
      </c>
      <c r="E2" s="20">
        <f>AVERAGE(Table2[[#This Row],[11-Mar]:[15-Jul]])</f>
        <v>3.6666666666666665</v>
      </c>
    </row>
    <row r="3" spans="1:5" ht="18" x14ac:dyDescent="0.55000000000000004">
      <c r="A3" s="21" t="str">
        <f>Table2[[#This Row],[Golfer]]</f>
        <v>Andrew Hahn</v>
      </c>
      <c r="B3" s="17">
        <f>SUM(Table2[[#This Row],[Wins ]]+Table3[[#This Row],[2Pot]]*0.5)</f>
        <v>0</v>
      </c>
      <c r="C3" s="18">
        <f>SUM(Table2[[#This Row],[number of rounds]])</f>
        <v>0</v>
      </c>
      <c r="D3" s="18">
        <f>SUM(Table2[[#This Row],[2 Pot]])</f>
        <v>0</v>
      </c>
      <c r="E3" s="27" t="e">
        <f>AVERAGE(Table2[[#This Row],[11-Mar]:[15-Jul]])</f>
        <v>#DIV/0!</v>
      </c>
    </row>
    <row r="4" spans="1:5" ht="18" x14ac:dyDescent="0.55000000000000004">
      <c r="A4" s="21" t="str">
        <f>Table2[[#This Row],[Golfer]]</f>
        <v>Andrew Quick</v>
      </c>
      <c r="B4" s="17">
        <f>SUM(Table2[[#This Row],[Wins ]]+Table3[[#This Row],[2Pot]]*0.5)</f>
        <v>0</v>
      </c>
      <c r="C4" s="18">
        <f>SUM(Table2[[#This Row],[number of rounds]])</f>
        <v>0</v>
      </c>
      <c r="D4" s="18">
        <f>SUM(Table2[[#This Row],[2 Pot]])</f>
        <v>0</v>
      </c>
      <c r="E4" s="27" t="e">
        <f>AVERAGE(Table2[[#This Row],[11-Mar]:[15-Jul]])</f>
        <v>#DIV/0!</v>
      </c>
    </row>
    <row r="5" spans="1:5" ht="18" x14ac:dyDescent="0.55000000000000004">
      <c r="A5" s="21" t="str">
        <f>Table2[[#This Row],[Golfer]]</f>
        <v>Andrew white</v>
      </c>
      <c r="B5" s="17">
        <f>SUM(Table2[[#This Row],[Wins ]]+Table3[[#This Row],[2Pot]]*0.5)</f>
        <v>1</v>
      </c>
      <c r="C5" s="18">
        <f>SUM(Table2[[#This Row],[number of rounds]])</f>
        <v>4</v>
      </c>
      <c r="D5" s="18">
        <f>SUM(Table2[[#This Row],[2 Pot]])</f>
        <v>0</v>
      </c>
      <c r="E5" s="27">
        <f>AVERAGE(Table2[[#This Row],[11-Mar]:[15-Jul]])</f>
        <v>1.25</v>
      </c>
    </row>
    <row r="6" spans="1:5" ht="18" x14ac:dyDescent="0.55000000000000004">
      <c r="A6" s="21" t="str">
        <f>Table2[[#This Row],[Golfer]]</f>
        <v>Art Menuis</v>
      </c>
      <c r="B6" s="17">
        <f>SUM(Table2[[#This Row],[Wins ]]+Table3[[#This Row],[2Pot]]*0.5)</f>
        <v>0</v>
      </c>
      <c r="C6" s="18">
        <f>SUM(Table2[[#This Row],[number of rounds]])</f>
        <v>0</v>
      </c>
      <c r="D6" s="18">
        <f>SUM(Table2[[#This Row],[2 Pot]])</f>
        <v>0</v>
      </c>
      <c r="E6" s="20" t="e">
        <f>AVERAGE(Table2[[#This Row],[11-Mar]:[15-Jul]])</f>
        <v>#DIV/0!</v>
      </c>
    </row>
    <row r="7" spans="1:5" ht="18" x14ac:dyDescent="0.55000000000000004">
      <c r="A7" s="21" t="str">
        <f>Table2[[#This Row],[Golfer]]</f>
        <v>Barb Doenges</v>
      </c>
      <c r="B7" s="17">
        <f>SUM(Table2[[#This Row],[Wins ]]+Table3[[#This Row],[2Pot]]*0.5)</f>
        <v>0</v>
      </c>
      <c r="C7" s="18">
        <f>SUM(Table2[[#This Row],[number of rounds]])</f>
        <v>1</v>
      </c>
      <c r="D7" s="18">
        <f>SUM(Table2[[#This Row],[2 Pot]])</f>
        <v>0</v>
      </c>
      <c r="E7" s="20">
        <f>AVERAGE(Table2[[#This Row],[11-Mar]:[15-Jul]])</f>
        <v>-1</v>
      </c>
    </row>
    <row r="8" spans="1:5" ht="18" x14ac:dyDescent="0.55000000000000004">
      <c r="A8" s="21" t="str">
        <f>Table2[[#This Row],[Golfer]]</f>
        <v>Barry Perry</v>
      </c>
      <c r="B8" s="17">
        <f>SUM(Table2[[#This Row],[Wins ]]+Table3[[#This Row],[2Pot]]*0.5)</f>
        <v>3</v>
      </c>
      <c r="C8" s="18">
        <f>SUM(Table2[[#This Row],[number of rounds]])</f>
        <v>8</v>
      </c>
      <c r="D8" s="18">
        <f>SUM(Table2[[#This Row],[2 Pot]])</f>
        <v>0</v>
      </c>
      <c r="E8" s="20">
        <f>AVERAGE(Table2[[#This Row],[11-Mar]:[15-Jul]])</f>
        <v>2.875</v>
      </c>
    </row>
    <row r="9" spans="1:5" ht="18" x14ac:dyDescent="0.55000000000000004">
      <c r="A9" s="21" t="str">
        <f>Table2[[#This Row],[Golfer]]</f>
        <v>Beth Ruggles</v>
      </c>
      <c r="B9" s="17">
        <f>SUM(Table2[[#This Row],[Wins ]]+Table3[[#This Row],[2Pot]]*0.5)</f>
        <v>0</v>
      </c>
      <c r="C9" s="18">
        <f>SUM(Table2[[#This Row],[number of rounds]])</f>
        <v>0</v>
      </c>
      <c r="D9" s="18">
        <f>SUM(Table2[[#This Row],[2 Pot]])</f>
        <v>0</v>
      </c>
      <c r="E9" s="20" t="e">
        <f>AVERAGE(Table2[[#This Row],[11-Mar]:[15-Jul]])</f>
        <v>#DIV/0!</v>
      </c>
    </row>
    <row r="10" spans="1:5" ht="18" x14ac:dyDescent="0.55000000000000004">
      <c r="A10" s="21" t="str">
        <f>Table2[[#This Row],[Golfer]]</f>
        <v>Bill Elkins</v>
      </c>
      <c r="B10" s="17">
        <f>SUM(Table2[[#This Row],[Wins ]]+Table3[[#This Row],[2Pot]]*0.5)</f>
        <v>0</v>
      </c>
      <c r="C10" s="18">
        <f>SUM(Table2[[#This Row],[number of rounds]])</f>
        <v>2</v>
      </c>
      <c r="D10" s="18">
        <f>SUM(Table2[[#This Row],[2 Pot]])</f>
        <v>0</v>
      </c>
      <c r="E10" s="20">
        <f>AVERAGE(Table2[[#This Row],[11-Mar]:[15-Jul]])</f>
        <v>5.5</v>
      </c>
    </row>
    <row r="11" spans="1:5" ht="18" x14ac:dyDescent="0.55000000000000004">
      <c r="A11" s="21" t="str">
        <f>Table2[[#This Row],[Golfer]]</f>
        <v>Bill Stone</v>
      </c>
      <c r="B11" s="17">
        <f>SUM(Table2[[#This Row],[Wins ]]+Table3[[#This Row],[2Pot]]*0.5)</f>
        <v>0</v>
      </c>
      <c r="C11" s="18">
        <f>SUM(Table2[[#This Row],[number of rounds]])</f>
        <v>2</v>
      </c>
      <c r="D11" s="18">
        <f>SUM(Table2[[#This Row],[2 Pot]])</f>
        <v>0</v>
      </c>
      <c r="E11" s="19">
        <f>AVERAGE(Table2[[#This Row],[11-Mar]:[15-Jul]])</f>
        <v>0</v>
      </c>
    </row>
    <row r="12" spans="1:5" ht="18" x14ac:dyDescent="0.55000000000000004">
      <c r="A12" s="21" t="str">
        <f>Table2[[#This Row],[Golfer]]</f>
        <v>Bobby Wingate</v>
      </c>
      <c r="B12" s="17">
        <f>SUM(Table2[[#This Row],[Wins ]]+Table3[[#This Row],[2Pot]]*0.5)</f>
        <v>0</v>
      </c>
      <c r="C12" s="18">
        <f>SUM(Table2[[#This Row],[number of rounds]])</f>
        <v>0</v>
      </c>
      <c r="D12" s="18">
        <f>SUM(Table2[[#This Row],[2 Pot]])</f>
        <v>0</v>
      </c>
      <c r="E12" s="27" t="e">
        <f>AVERAGE(Table2[[#This Row],[11-Mar]:[15-Jul]])</f>
        <v>#DIV/0!</v>
      </c>
    </row>
    <row r="13" spans="1:5" ht="18" x14ac:dyDescent="0.55000000000000004">
      <c r="A13" s="21" t="str">
        <f>Table2[[#This Row],[Golfer]]</f>
        <v>Brad Grabarek</v>
      </c>
      <c r="B13" s="17">
        <f>SUM(Table2[[#This Row],[Wins ]]+Table3[[#This Row],[2Pot]]*0.5)</f>
        <v>0.5</v>
      </c>
      <c r="C13" s="18">
        <f>SUM(Table2[[#This Row],[number of rounds]])</f>
        <v>7</v>
      </c>
      <c r="D13" s="18">
        <f>SUM(Table2[[#This Row],[2 Pot]])</f>
        <v>1</v>
      </c>
      <c r="E13" s="19">
        <f>AVERAGE(Table2[[#This Row],[11-Mar]:[15-Jul]])</f>
        <v>0.8571428571428571</v>
      </c>
    </row>
    <row r="14" spans="1:5" ht="18" x14ac:dyDescent="0.55000000000000004">
      <c r="A14" s="21" t="str">
        <f>Table2[[#This Row],[Golfer]]</f>
        <v>Braxton Hughes</v>
      </c>
      <c r="B14" s="17">
        <f>SUM(Table2[[#This Row],[Wins ]]+Table3[[#This Row],[2Pot]]*0.5)</f>
        <v>0</v>
      </c>
      <c r="C14" s="18">
        <f>SUM(Table2[[#This Row],[number of rounds]])</f>
        <v>0</v>
      </c>
      <c r="D14" s="18">
        <f>SUM(Table2[[#This Row],[2 Pot]])</f>
        <v>0</v>
      </c>
      <c r="E14" s="20" t="e">
        <f>AVERAGE(Table2[[#This Row],[11-Mar]:[15-Jul]])</f>
        <v>#DIV/0!</v>
      </c>
    </row>
    <row r="15" spans="1:5" ht="18" x14ac:dyDescent="0.55000000000000004">
      <c r="A15" s="21" t="str">
        <f>Table2[[#This Row],[Golfer]]</f>
        <v>Brett Dippolito</v>
      </c>
      <c r="B15" s="17">
        <f>SUM(Table2[[#This Row],[Wins ]]+Table3[[#This Row],[2Pot]]*0.5)</f>
        <v>0</v>
      </c>
      <c r="C15" s="18">
        <f>SUM(Table2[[#This Row],[number of rounds]])</f>
        <v>0</v>
      </c>
      <c r="D15" s="18">
        <f>SUM(Table2[[#This Row],[2 Pot]])</f>
        <v>0</v>
      </c>
      <c r="E15" s="20" t="e">
        <f>AVERAGE(Table2[[#This Row],[11-Mar]:[15-Jul]])</f>
        <v>#DIV/0!</v>
      </c>
    </row>
    <row r="16" spans="1:5" ht="18" x14ac:dyDescent="0.55000000000000004">
      <c r="A16" s="21" t="str">
        <f>Table2[[#This Row],[Golfer]]</f>
        <v>Brett Walters</v>
      </c>
      <c r="B16" s="17">
        <f>SUM(Table2[[#This Row],[Wins ]]+Table3[[#This Row],[2Pot]]*0.5)</f>
        <v>2</v>
      </c>
      <c r="C16" s="18">
        <f>SUM(Table2[[#This Row],[number of rounds]])</f>
        <v>2</v>
      </c>
      <c r="D16" s="18">
        <f>SUM(Table2[[#This Row],[2 Pot]])</f>
        <v>0</v>
      </c>
      <c r="E16" s="20">
        <f>AVERAGE(Table2[[#This Row],[11-Mar]:[15-Jul]])</f>
        <v>0.5</v>
      </c>
    </row>
    <row r="17" spans="1:5" ht="18" x14ac:dyDescent="0.55000000000000004">
      <c r="A17" s="21" t="str">
        <f>Table2[[#This Row],[Golfer]]</f>
        <v>Brian Satterfield</v>
      </c>
      <c r="B17" s="17">
        <f>SUM(Table2[[#This Row],[Wins ]]+Table3[[#This Row],[2Pot]]*0.5)</f>
        <v>0</v>
      </c>
      <c r="C17" s="18">
        <f>SUM(Table2[[#This Row],[number of rounds]])</f>
        <v>1</v>
      </c>
      <c r="D17" s="18">
        <f>SUM(Table2[[#This Row],[2 Pot]])</f>
        <v>0</v>
      </c>
      <c r="E17" s="20">
        <f>AVERAGE(Table2[[#This Row],[11-Mar]:[15-Jul]])</f>
        <v>2</v>
      </c>
    </row>
    <row r="18" spans="1:5" ht="18" x14ac:dyDescent="0.55000000000000004">
      <c r="A18" s="21" t="str">
        <f>Table2[[#This Row],[Golfer]]</f>
        <v>Caleb Rodgers</v>
      </c>
      <c r="B18" s="17">
        <f>SUM(Table2[[#This Row],[Wins ]]+Table3[[#This Row],[2Pot]]*0.5)</f>
        <v>0</v>
      </c>
      <c r="C18" s="18">
        <f>SUM(Table2[[#This Row],[number of rounds]])</f>
        <v>2</v>
      </c>
      <c r="D18" s="18">
        <f>SUM(Table2[[#This Row],[2 Pot]])</f>
        <v>0</v>
      </c>
      <c r="E18" s="20">
        <f>AVERAGE(Table2[[#This Row],[11-Mar]:[15-Jul]])</f>
        <v>-1</v>
      </c>
    </row>
    <row r="19" spans="1:5" ht="18" x14ac:dyDescent="0.55000000000000004">
      <c r="A19" s="21" t="str">
        <f>Table2[[#This Row],[Golfer]]</f>
        <v>Chris Farrell</v>
      </c>
      <c r="B19" s="17">
        <f>SUM(Table2[[#This Row],[Wins ]]+Table3[[#This Row],[2Pot]]*0.5)</f>
        <v>2</v>
      </c>
      <c r="C19" s="18">
        <f>SUM(Table2[[#This Row],[number of rounds]])</f>
        <v>6</v>
      </c>
      <c r="D19" s="18">
        <f>SUM(Table2[[#This Row],[2 Pot]])</f>
        <v>0</v>
      </c>
      <c r="E19" s="19">
        <f>AVERAGE(Table2[[#This Row],[11-Mar]:[15-Jul]])</f>
        <v>-0.33333333333333331</v>
      </c>
    </row>
    <row r="20" spans="1:5" ht="18" x14ac:dyDescent="0.55000000000000004">
      <c r="A20" s="21" t="str">
        <f>Table2[[#This Row],[Golfer]]</f>
        <v>Colin White</v>
      </c>
      <c r="B20" s="17">
        <f>SUM(Table2[[#This Row],[Wins ]]+Table3[[#This Row],[2Pot]]*0.5)</f>
        <v>0</v>
      </c>
      <c r="C20" s="18">
        <f>SUM(Table2[[#This Row],[number of rounds]])</f>
        <v>0</v>
      </c>
      <c r="D20" s="18">
        <f>SUM(Table2[[#This Row],[2 Pot]])</f>
        <v>0</v>
      </c>
      <c r="E20" s="19" t="e">
        <f>AVERAGE(Table2[[#This Row],[11-Mar]:[15-Jul]])</f>
        <v>#DIV/0!</v>
      </c>
    </row>
    <row r="21" spans="1:5" ht="18" x14ac:dyDescent="0.55000000000000004">
      <c r="A21" s="21" t="str">
        <f>Table2[[#This Row],[Golfer]]</f>
        <v>Colt Westbrook</v>
      </c>
      <c r="B21" s="17">
        <f>SUM(Table2[[#This Row],[Wins ]]+Table3[[#This Row],[2Pot]]*0.5)</f>
        <v>0</v>
      </c>
      <c r="C21" s="18">
        <f>SUM(Table2[[#This Row],[number of rounds]])</f>
        <v>1</v>
      </c>
      <c r="D21" s="18">
        <f>SUM(Table2[[#This Row],[2 Pot]])</f>
        <v>0</v>
      </c>
      <c r="E21" s="19">
        <f>AVERAGE(Table2[[#This Row],[11-Mar]:[15-Jul]])</f>
        <v>0</v>
      </c>
    </row>
    <row r="22" spans="1:5" ht="18" x14ac:dyDescent="0.55000000000000004">
      <c r="A22" s="21" t="str">
        <f>Table2[[#This Row],[Golfer]]</f>
        <v>Dan O</v>
      </c>
      <c r="B22" s="17">
        <f>SUM(Table2[[#This Row],[Wins ]]+Table3[[#This Row],[2Pot]]*0.5)</f>
        <v>0</v>
      </c>
      <c r="C22" s="18">
        <f>SUM(Table2[[#This Row],[number of rounds]])</f>
        <v>0</v>
      </c>
      <c r="D22" s="18">
        <f>SUM(Table2[[#This Row],[2 Pot]])</f>
        <v>0</v>
      </c>
      <c r="E22" s="27" t="e">
        <f>AVERAGE(Table2[[#This Row],[11-Mar]:[15-Jul]])</f>
        <v>#DIV/0!</v>
      </c>
    </row>
    <row r="23" spans="1:5" ht="18" x14ac:dyDescent="0.55000000000000004">
      <c r="A23" s="21" t="str">
        <f>Table2[[#This Row],[Golfer]]</f>
        <v>Danny Williams</v>
      </c>
      <c r="B23" s="17">
        <f>SUM(Table2[[#This Row],[Wins ]]+Table3[[#This Row],[2Pot]]*0.5)</f>
        <v>0</v>
      </c>
      <c r="C23" s="18">
        <f>SUM(Table2[[#This Row],[number of rounds]])</f>
        <v>3</v>
      </c>
      <c r="D23" s="18">
        <f>SUM(Table2[[#This Row],[2 Pot]])</f>
        <v>0</v>
      </c>
      <c r="E23" s="20">
        <f>AVERAGE(Table2[[#This Row],[11-Mar]:[15-Jul]])</f>
        <v>3.3333333333333335</v>
      </c>
    </row>
    <row r="24" spans="1:5" ht="18" x14ac:dyDescent="0.55000000000000004">
      <c r="A24" s="21" t="str">
        <f>Table2[[#This Row],[Golfer]]</f>
        <v>David Radford</v>
      </c>
      <c r="B24" s="17">
        <f>SUM(Table2[[#This Row],[Wins ]]+Table3[[#This Row],[2Pot]]*0.5)</f>
        <v>2.5</v>
      </c>
      <c r="C24" s="18">
        <f>SUM(Table2[[#This Row],[number of rounds]])</f>
        <v>5</v>
      </c>
      <c r="D24" s="18">
        <f>SUM(Table2[[#This Row],[2 Pot]])</f>
        <v>1</v>
      </c>
      <c r="E24" s="19">
        <f>AVERAGE(Table2[[#This Row],[11-Mar]:[15-Jul]])</f>
        <v>0.8</v>
      </c>
    </row>
    <row r="25" spans="1:5" ht="18" x14ac:dyDescent="0.55000000000000004">
      <c r="A25" s="21" t="str">
        <f>Table2[[#This Row],[Golfer]]</f>
        <v>Denis Hayes</v>
      </c>
      <c r="B25" s="17">
        <f>SUM(Table2[[#This Row],[Wins ]]+Table3[[#This Row],[2Pot]]*0.5)</f>
        <v>5.5</v>
      </c>
      <c r="C25" s="18">
        <f>SUM(Table2[[#This Row],[number of rounds]])</f>
        <v>8</v>
      </c>
      <c r="D25" s="18">
        <f>SUM(Table2[[#This Row],[2 Pot]])</f>
        <v>1</v>
      </c>
      <c r="E25" s="19">
        <f>AVERAGE(Table2[[#This Row],[11-Mar]:[15-Jul]])</f>
        <v>-0.5</v>
      </c>
    </row>
    <row r="26" spans="1:5" ht="18" x14ac:dyDescent="0.55000000000000004">
      <c r="A26" s="21" t="str">
        <f>Table2[[#This Row],[Golfer]]</f>
        <v>Dick Pilotte</v>
      </c>
      <c r="B26" s="17">
        <f>SUM(Table2[[#This Row],[Wins ]]+Table3[[#This Row],[2Pot]]*0.5)</f>
        <v>0</v>
      </c>
      <c r="C26" s="18">
        <f>SUM(Table2[[#This Row],[number of rounds]])</f>
        <v>5</v>
      </c>
      <c r="D26" s="18">
        <f>SUM(Table2[[#This Row],[2 Pot]])</f>
        <v>0</v>
      </c>
      <c r="E26" s="20">
        <f>AVERAGE(Table2[[#This Row],[11-Mar]:[15-Jul]])</f>
        <v>1</v>
      </c>
    </row>
    <row r="27" spans="1:5" ht="18" x14ac:dyDescent="0.55000000000000004">
      <c r="A27" s="21" t="str">
        <f>Table2[[#This Row],[Golfer]]</f>
        <v>Douglass Mac</v>
      </c>
      <c r="B27" s="17">
        <f>SUM(Table2[[#This Row],[Wins ]]+Table3[[#This Row],[2Pot]]*0.5)</f>
        <v>0</v>
      </c>
      <c r="C27" s="18">
        <f>SUM(Table2[[#This Row],[number of rounds]])</f>
        <v>1</v>
      </c>
      <c r="D27" s="18">
        <f>SUM(Table2[[#This Row],[2 Pot]])</f>
        <v>0</v>
      </c>
      <c r="E27" s="20">
        <f>AVERAGE(Table2[[#This Row],[11-Mar]:[15-Jul]])</f>
        <v>5</v>
      </c>
    </row>
    <row r="28" spans="1:5" ht="18" x14ac:dyDescent="0.55000000000000004">
      <c r="A28" s="21" t="str">
        <f>Table2[[#This Row],[Golfer]]</f>
        <v>Drew Froman</v>
      </c>
      <c r="B28" s="17">
        <f>SUM(Table2[[#This Row],[Wins ]]+Table3[[#This Row],[2Pot]]*0.5)</f>
        <v>0</v>
      </c>
      <c r="C28" s="18">
        <f>SUM(Table2[[#This Row],[number of rounds]])</f>
        <v>4</v>
      </c>
      <c r="D28" s="18">
        <f>SUM(Table2[[#This Row],[2 Pot]])</f>
        <v>0</v>
      </c>
      <c r="E28" s="20">
        <f>AVERAGE(Table2[[#This Row],[11-Mar]:[15-Jul]])</f>
        <v>3</v>
      </c>
    </row>
    <row r="29" spans="1:5" ht="18" x14ac:dyDescent="0.55000000000000004">
      <c r="A29" s="21" t="str">
        <f>Table2[[#This Row],[Golfer]]</f>
        <v>Duane W</v>
      </c>
      <c r="B29" s="17">
        <f>SUM(Table2[[#This Row],[Wins ]]+Table3[[#This Row],[2Pot]]*0.5)</f>
        <v>0</v>
      </c>
      <c r="C29" s="18">
        <f>SUM(Table2[[#This Row],[number of rounds]])</f>
        <v>0</v>
      </c>
      <c r="D29" s="18">
        <f>SUM(Table2[[#This Row],[2 Pot]])</f>
        <v>0</v>
      </c>
      <c r="E29" s="20" t="e">
        <f>AVERAGE(Table2[[#This Row],[11-Mar]:[15-Jul]])</f>
        <v>#DIV/0!</v>
      </c>
    </row>
    <row r="30" spans="1:5" ht="18" x14ac:dyDescent="0.55000000000000004">
      <c r="A30" s="21" t="str">
        <f>Table2[[#This Row],[Golfer]]</f>
        <v>Evan W</v>
      </c>
      <c r="B30" s="17">
        <f>SUM(Table2[[#This Row],[Wins ]]+Table3[[#This Row],[2Pot]]*0.5)</f>
        <v>0</v>
      </c>
      <c r="C30" s="18">
        <f>SUM(Table2[[#This Row],[number of rounds]])</f>
        <v>0</v>
      </c>
      <c r="D30" s="18">
        <f>SUM(Table2[[#This Row],[2 Pot]])</f>
        <v>0</v>
      </c>
      <c r="E30" s="20" t="e">
        <f>AVERAGE(Table2[[#This Row],[11-Mar]:[15-Jul]])</f>
        <v>#DIV/0!</v>
      </c>
    </row>
    <row r="31" spans="1:5" ht="18" x14ac:dyDescent="0.55000000000000004">
      <c r="A31" s="21" t="str">
        <f>Table2[[#This Row],[Golfer]]</f>
        <v>Gerett Hudson</v>
      </c>
      <c r="B31" s="17">
        <f>SUM(Table2[[#This Row],[Wins ]]+Table3[[#This Row],[2Pot]]*0.5)</f>
        <v>0</v>
      </c>
      <c r="C31" s="18">
        <f>SUM(Table2[[#This Row],[number of rounds]])</f>
        <v>0</v>
      </c>
      <c r="D31" s="18">
        <f>SUM(Table2[[#This Row],[2 Pot]])</f>
        <v>0</v>
      </c>
      <c r="E31" s="27" t="e">
        <f>AVERAGE(Table2[[#This Row],[11-Mar]:[15-Jul]])</f>
        <v>#DIV/0!</v>
      </c>
    </row>
    <row r="32" spans="1:5" ht="18" x14ac:dyDescent="0.55000000000000004">
      <c r="A32" s="21" t="str">
        <f>Table2[[#This Row],[Golfer]]</f>
        <v>Graham Taylor</v>
      </c>
      <c r="B32" s="17">
        <f>SUM(Table2[[#This Row],[Wins ]]+Table3[[#This Row],[2Pot]]*0.5)</f>
        <v>1</v>
      </c>
      <c r="C32" s="18">
        <f>SUM(Table2[[#This Row],[number of rounds]])</f>
        <v>3</v>
      </c>
      <c r="D32" s="18">
        <f>SUM(Table2[[#This Row],[2 Pot]])</f>
        <v>0</v>
      </c>
      <c r="E32" s="27">
        <f>AVERAGE(Table2[[#This Row],[11-Mar]:[15-Jul]])</f>
        <v>-0.66666666666666663</v>
      </c>
    </row>
    <row r="33" spans="1:5" ht="18" x14ac:dyDescent="0.55000000000000004">
      <c r="A33" s="21" t="str">
        <f>Table2[[#This Row],[Golfer]]</f>
        <v>Greg Slaughter</v>
      </c>
      <c r="B33" s="17">
        <f>SUM(Table2[[#This Row],[Wins ]]+Table3[[#This Row],[2Pot]]*0.5)</f>
        <v>1</v>
      </c>
      <c r="C33" s="18">
        <f>SUM(Table2[[#This Row],[number of rounds]])</f>
        <v>2</v>
      </c>
      <c r="D33" s="18">
        <f>SUM(Table2[[#This Row],[2 Pot]])</f>
        <v>0</v>
      </c>
      <c r="E33" s="27">
        <f>AVERAGE(Table2[[#This Row],[11-Mar]:[15-Jul]])</f>
        <v>1</v>
      </c>
    </row>
    <row r="34" spans="1:5" ht="18" x14ac:dyDescent="0.55000000000000004">
      <c r="A34" s="21" t="str">
        <f>Table2[[#This Row],[Golfer]]</f>
        <v xml:space="preserve">Hudson Wilkins </v>
      </c>
      <c r="B34" s="17">
        <f>SUM(Table2[[#This Row],[Wins ]]+Table3[[#This Row],[2Pot]]*0.5)</f>
        <v>0</v>
      </c>
      <c r="C34" s="18">
        <f>SUM(Table2[[#This Row],[number of rounds]])</f>
        <v>1</v>
      </c>
      <c r="D34" s="18">
        <f>SUM(Table2[[#This Row],[2 Pot]])</f>
        <v>0</v>
      </c>
      <c r="E34" s="20">
        <f>AVERAGE(Table2[[#This Row],[11-Mar]:[15-Jul]])</f>
        <v>2</v>
      </c>
    </row>
    <row r="35" spans="1:5" ht="18" x14ac:dyDescent="0.55000000000000004">
      <c r="A35" s="21" t="str">
        <f>Table2[[#This Row],[Golfer]]</f>
        <v>Jake Howard</v>
      </c>
      <c r="B35" s="17">
        <f>SUM(Table2[[#This Row],[Wins ]]+Table3[[#This Row],[2Pot]]*0.5)</f>
        <v>0</v>
      </c>
      <c r="C35" s="18">
        <f>SUM(Table2[[#This Row],[number of rounds]])</f>
        <v>0</v>
      </c>
      <c r="D35" s="18">
        <f>SUM(Table2[[#This Row],[2 Pot]])</f>
        <v>0</v>
      </c>
      <c r="E35" s="20" t="e">
        <f>AVERAGE(Table2[[#This Row],[11-Mar]:[15-Jul]])</f>
        <v>#DIV/0!</v>
      </c>
    </row>
    <row r="36" spans="1:5" ht="18" x14ac:dyDescent="0.55000000000000004">
      <c r="A36" s="21" t="str">
        <f>Table2[[#This Row],[Golfer]]</f>
        <v>James D</v>
      </c>
      <c r="B36" s="17">
        <f>SUM(Table2[[#This Row],[Wins ]]+Table3[[#This Row],[2Pot]]*0.5)</f>
        <v>0</v>
      </c>
      <c r="C36" s="18">
        <f>SUM(Table2[[#This Row],[number of rounds]])</f>
        <v>0</v>
      </c>
      <c r="D36" s="18">
        <f>SUM(Table2[[#This Row],[2 Pot]])</f>
        <v>0</v>
      </c>
      <c r="E36" s="27" t="e">
        <f>AVERAGE(Table2[[#This Row],[11-Mar]:[15-Jul]])</f>
        <v>#DIV/0!</v>
      </c>
    </row>
    <row r="37" spans="1:5" ht="18" x14ac:dyDescent="0.55000000000000004">
      <c r="A37" s="21" t="str">
        <f>Table2[[#This Row],[Golfer]]</f>
        <v>Janet Upchurch</v>
      </c>
      <c r="B37" s="17">
        <f>SUM(Table2[[#This Row],[Wins ]]+Table3[[#This Row],[2Pot]]*0.5)</f>
        <v>0</v>
      </c>
      <c r="C37" s="18">
        <f>SUM(Table2[[#This Row],[number of rounds]])</f>
        <v>1</v>
      </c>
      <c r="D37" s="18">
        <f>SUM(Table2[[#This Row],[2 Pot]])</f>
        <v>0</v>
      </c>
      <c r="E37" s="27">
        <f>AVERAGE(Table2[[#This Row],[11-Mar]:[15-Jul]])</f>
        <v>7</v>
      </c>
    </row>
    <row r="38" spans="1:5" ht="18" x14ac:dyDescent="0.55000000000000004">
      <c r="A38" s="21" t="str">
        <f>Table2[[#This Row],[Golfer]]</f>
        <v>Jason Boucher</v>
      </c>
      <c r="B38" s="17">
        <f>SUM(Table2[[#This Row],[Wins ]]+Table3[[#This Row],[2Pot]]*0.5)</f>
        <v>0</v>
      </c>
      <c r="C38" s="18">
        <f>SUM(Table2[[#This Row],[number of rounds]])</f>
        <v>0</v>
      </c>
      <c r="D38" s="18">
        <f>SUM(Table2[[#This Row],[2 Pot]])</f>
        <v>0</v>
      </c>
      <c r="E38" s="20" t="e">
        <f>AVERAGE(Table2[[#This Row],[11-Mar]:[15-Jul]])</f>
        <v>#DIV/0!</v>
      </c>
    </row>
    <row r="39" spans="1:5" ht="18" x14ac:dyDescent="0.55000000000000004">
      <c r="A39" s="21" t="str">
        <f>Table2[[#This Row],[Golfer]]</f>
        <v>Jason Poe</v>
      </c>
      <c r="B39" s="17">
        <f>SUM(Table2[[#This Row],[Wins ]]+Table3[[#This Row],[2Pot]]*0.5)</f>
        <v>1.5</v>
      </c>
      <c r="C39" s="18">
        <f>SUM(Table2[[#This Row],[number of rounds]])</f>
        <v>4</v>
      </c>
      <c r="D39" s="18">
        <f>SUM(Table2[[#This Row],[2 Pot]])</f>
        <v>1</v>
      </c>
      <c r="E39" s="20">
        <f>AVERAGE(Table2[[#This Row],[11-Mar]:[15-Jul]])</f>
        <v>-2.75</v>
      </c>
    </row>
    <row r="40" spans="1:5" ht="18" x14ac:dyDescent="0.55000000000000004">
      <c r="A40" s="21" t="str">
        <f>Table2[[#This Row],[Golfer]]</f>
        <v>Jay Slaughter</v>
      </c>
      <c r="B40" s="17">
        <f>SUM(Table2[[#This Row],[Wins ]]+Table3[[#This Row],[2Pot]]*0.5)</f>
        <v>0</v>
      </c>
      <c r="C40" s="18">
        <f>SUM(Table2[[#This Row],[number of rounds]])</f>
        <v>1</v>
      </c>
      <c r="D40" s="18">
        <f>SUM(Table2[[#This Row],[2 Pot]])</f>
        <v>0</v>
      </c>
      <c r="E40" s="20">
        <f>AVERAGE(Table2[[#This Row],[11-Mar]:[15-Jul]])</f>
        <v>0</v>
      </c>
    </row>
    <row r="41" spans="1:5" ht="18" x14ac:dyDescent="0.55000000000000004">
      <c r="A41" s="21" t="s">
        <v>99</v>
      </c>
      <c r="B41" s="17">
        <f>SUM(Table2[[#This Row],[Wins ]]+Table3[[#This Row],[2Pot]]*0.5)</f>
        <v>1</v>
      </c>
      <c r="C41" s="18">
        <f>SUM(Table2[[#This Row],[number of rounds]])</f>
        <v>9</v>
      </c>
      <c r="D41" s="18">
        <f>SUM(Table2[[#This Row],[2 Pot]])</f>
        <v>0</v>
      </c>
      <c r="E41" s="20">
        <f>AVERAGE(Table2[[#This Row],[11-Mar]:[15-Jul]])</f>
        <v>1.6666666666666667</v>
      </c>
    </row>
    <row r="42" spans="1:5" ht="18" x14ac:dyDescent="0.55000000000000004">
      <c r="A42" s="21" t="str">
        <f>Table2[[#This Row],[Golfer]]</f>
        <v>Jimmy McGuire</v>
      </c>
      <c r="B42" s="17">
        <f>SUM(Table2[[#This Row],[Wins ]]+Table3[[#This Row],[2Pot]]*0.5)</f>
        <v>1.5</v>
      </c>
      <c r="C42" s="18">
        <f>SUM(Table2[[#This Row],[number of rounds]])</f>
        <v>7</v>
      </c>
      <c r="D42" s="18">
        <f>SUM(Table2[[#This Row],[2 Pot]])</f>
        <v>1</v>
      </c>
      <c r="E42" s="19">
        <f>AVERAGE(Table2[[#This Row],[11-Mar]:[15-Jul]])</f>
        <v>0.8571428571428571</v>
      </c>
    </row>
    <row r="43" spans="1:5" ht="18" x14ac:dyDescent="0.55000000000000004">
      <c r="A43" s="21" t="str">
        <f>Table2[[#This Row],[Golfer]]</f>
        <v>Joe McIntyer</v>
      </c>
      <c r="B43" s="17">
        <f>SUM(Table2[[#This Row],[Wins ]]+Table3[[#This Row],[2Pot]]*0.5)</f>
        <v>0</v>
      </c>
      <c r="C43" s="18">
        <f>SUM(Table2[[#This Row],[number of rounds]])</f>
        <v>2</v>
      </c>
      <c r="D43" s="18">
        <f>SUM(Table2[[#This Row],[2 Pot]])</f>
        <v>0</v>
      </c>
      <c r="E43" s="20">
        <f>AVERAGE(Table2[[#This Row],[11-Mar]:[15-Jul]])</f>
        <v>1.5</v>
      </c>
    </row>
    <row r="44" spans="1:5" ht="18" x14ac:dyDescent="0.55000000000000004">
      <c r="A44" s="21" t="str">
        <f>Table2[[#This Row],[Golfer]]</f>
        <v>Joe Ristiano</v>
      </c>
      <c r="B44" s="17">
        <f>SUM(Table2[[#This Row],[Wins ]]+Table3[[#This Row],[2Pot]]*0.5)</f>
        <v>0.5</v>
      </c>
      <c r="C44" s="18">
        <f>SUM(Table2[[#This Row],[number of rounds]])</f>
        <v>1</v>
      </c>
      <c r="D44" s="18">
        <f>SUM(Table2[[#This Row],[2 Pot]])</f>
        <v>1</v>
      </c>
      <c r="E44" s="20">
        <f>AVERAGE(Table2[[#This Row],[11-Mar]:[15-Jul]])</f>
        <v>5</v>
      </c>
    </row>
    <row r="45" spans="1:5" ht="18" x14ac:dyDescent="0.55000000000000004">
      <c r="A45" s="21" t="str">
        <f>Table2[[#This Row],[Golfer]]</f>
        <v>Joey Cabrera</v>
      </c>
      <c r="B45" s="17">
        <f>SUM(Table2[[#This Row],[Wins ]]+Table3[[#This Row],[2Pot]]*0.5)</f>
        <v>3</v>
      </c>
      <c r="C45" s="18">
        <f>SUM(Table2[[#This Row],[number of rounds]])</f>
        <v>5</v>
      </c>
      <c r="D45" s="18">
        <f>SUM(Table2[[#This Row],[2 Pot]])</f>
        <v>2</v>
      </c>
      <c r="E45" s="19">
        <f>AVERAGE(Table2[[#This Row],[11-Mar]:[15-Jul]])</f>
        <v>0.2</v>
      </c>
    </row>
    <row r="46" spans="1:5" ht="18" x14ac:dyDescent="0.55000000000000004">
      <c r="A46" s="21" t="str">
        <f>Table2[[#This Row],[Golfer]]</f>
        <v>John Kenlan</v>
      </c>
      <c r="B46" s="17">
        <f>SUM(Table2[[#This Row],[Wins ]]+Table3[[#This Row],[2Pot]]*0.5)</f>
        <v>0</v>
      </c>
      <c r="C46" s="18">
        <f>SUM(Table2[[#This Row],[number of rounds]])</f>
        <v>1</v>
      </c>
      <c r="D46" s="18">
        <f>SUM(Table2[[#This Row],[2 Pot]])</f>
        <v>0</v>
      </c>
      <c r="E46" s="19">
        <f>AVERAGE(Table2[[#This Row],[11-Mar]:[15-Jul]])</f>
        <v>1</v>
      </c>
    </row>
    <row r="47" spans="1:5" ht="18" x14ac:dyDescent="0.55000000000000004">
      <c r="A47" s="21" t="str">
        <f>Table2[[#This Row],[Golfer]]</f>
        <v>John Sanders</v>
      </c>
      <c r="B47" s="17">
        <f>SUM(Table2[[#This Row],[Wins ]]+Table3[[#This Row],[2Pot]]*0.5)</f>
        <v>0</v>
      </c>
      <c r="C47" s="18">
        <f>SUM(Table2[[#This Row],[number of rounds]])</f>
        <v>0</v>
      </c>
      <c r="D47" s="18">
        <f>SUM(Table2[[#This Row],[2 Pot]])</f>
        <v>0</v>
      </c>
      <c r="E47" s="27" t="e">
        <f>AVERAGE(Table2[[#This Row],[11-Mar]:[15-Jul]])</f>
        <v>#DIV/0!</v>
      </c>
    </row>
    <row r="48" spans="1:5" ht="18" x14ac:dyDescent="0.55000000000000004">
      <c r="A48" s="21" t="str">
        <f>Table2[[#This Row],[Golfer]]</f>
        <v>Josh Burns</v>
      </c>
      <c r="B48" s="17">
        <f>SUM(Table2[[#This Row],[Wins ]]+Table3[[#This Row],[2Pot]]*0.5)</f>
        <v>1</v>
      </c>
      <c r="C48" s="18">
        <f>SUM(Table2[[#This Row],[number of rounds]])</f>
        <v>8</v>
      </c>
      <c r="D48" s="18">
        <f>SUM(Table2[[#This Row],[2 Pot]])</f>
        <v>2</v>
      </c>
      <c r="E48" s="20">
        <f>AVERAGE(Table2[[#This Row],[11-Mar]:[15-Jul]])</f>
        <v>0.75</v>
      </c>
    </row>
    <row r="49" spans="1:5" ht="18" x14ac:dyDescent="0.55000000000000004">
      <c r="A49" s="21" t="str">
        <f>Table2[[#This Row],[Golfer]]</f>
        <v>Josh Edwards</v>
      </c>
      <c r="B49" s="17">
        <f>SUM(Table2[[#This Row],[Wins ]]+Table3[[#This Row],[2Pot]]*0.5)</f>
        <v>0</v>
      </c>
      <c r="C49" s="18">
        <f>SUM(Table2[[#This Row],[number of rounds]])</f>
        <v>0</v>
      </c>
      <c r="D49" s="18">
        <f>SUM(Table2[[#This Row],[2 Pot]])</f>
        <v>0</v>
      </c>
      <c r="E49" s="20" t="e">
        <f>AVERAGE(Table2[[#This Row],[11-Mar]:[15-Jul]])</f>
        <v>#DIV/0!</v>
      </c>
    </row>
    <row r="50" spans="1:5" ht="18" x14ac:dyDescent="0.55000000000000004">
      <c r="A50" s="21" t="str">
        <f>Table2[[#This Row],[Golfer]]</f>
        <v>Justin Hall</v>
      </c>
      <c r="B50" s="17">
        <f>SUM(Table2[[#This Row],[Wins ]]+Table3[[#This Row],[2Pot]]*0.5)</f>
        <v>0</v>
      </c>
      <c r="C50" s="18">
        <f>SUM(Table2[[#This Row],[number of rounds]])</f>
        <v>2</v>
      </c>
      <c r="D50" s="18">
        <f>SUM(Table2[[#This Row],[2 Pot]])</f>
        <v>0</v>
      </c>
      <c r="E50" s="27">
        <f>AVERAGE(Table2[[#This Row],[11-Mar]:[15-Jul]])</f>
        <v>2.5</v>
      </c>
    </row>
    <row r="51" spans="1:5" ht="18" x14ac:dyDescent="0.55000000000000004">
      <c r="A51" s="21" t="str">
        <f>Table2[[#This Row],[Golfer]]</f>
        <v>Keith McClintock</v>
      </c>
      <c r="B51" s="17">
        <f>SUM(Table2[[#This Row],[Wins ]]+Table3[[#This Row],[2Pot]]*0.5)</f>
        <v>0</v>
      </c>
      <c r="C51" s="18">
        <f>SUM(Table2[[#This Row],[number of rounds]])</f>
        <v>0</v>
      </c>
      <c r="D51" s="18">
        <f>SUM(Table2[[#This Row],[2 Pot]])</f>
        <v>0</v>
      </c>
      <c r="E51" s="19" t="e">
        <f>AVERAGE(Table2[[#This Row],[11-Mar]:[15-Jul]])</f>
        <v>#DIV/0!</v>
      </c>
    </row>
    <row r="52" spans="1:5" ht="18" x14ac:dyDescent="0.55000000000000004">
      <c r="A52" s="21" t="str">
        <f>Table2[[#This Row],[Golfer]]</f>
        <v>Kevin Stanley</v>
      </c>
      <c r="B52" s="17">
        <f>SUM(Table2[[#This Row],[Wins ]]+Table3[[#This Row],[2Pot]]*0.5)</f>
        <v>0</v>
      </c>
      <c r="C52" s="18">
        <f>SUM(Table2[[#This Row],[number of rounds]])</f>
        <v>1</v>
      </c>
      <c r="D52" s="18">
        <f>SUM(Table2[[#This Row],[2 Pot]])</f>
        <v>0</v>
      </c>
      <c r="E52" s="19">
        <f>AVERAGE(Table2[[#This Row],[11-Mar]:[15-Jul]])</f>
        <v>6</v>
      </c>
    </row>
    <row r="53" spans="1:5" ht="18" x14ac:dyDescent="0.55000000000000004">
      <c r="A53" s="21" t="str">
        <f>Table2[[#This Row],[Golfer]]</f>
        <v>Kevin Wicker</v>
      </c>
      <c r="B53" s="17">
        <f>SUM(Table2[[#This Row],[Wins ]]+Table3[[#This Row],[2Pot]]*0.5)</f>
        <v>0</v>
      </c>
      <c r="C53" s="18">
        <f>SUM(Table2[[#This Row],[number of rounds]])</f>
        <v>1</v>
      </c>
      <c r="D53" s="18">
        <f>SUM(Table2[[#This Row],[2 Pot]])</f>
        <v>0</v>
      </c>
      <c r="E53" s="20">
        <f>AVERAGE(Table2[[#This Row],[11-Mar]:[15-Jul]])</f>
        <v>0</v>
      </c>
    </row>
    <row r="54" spans="1:5" ht="18" x14ac:dyDescent="0.55000000000000004">
      <c r="A54" s="21" t="str">
        <f>Table2[[#This Row],[Golfer]]</f>
        <v>Kirk Brown</v>
      </c>
      <c r="B54" s="17">
        <f>SUM(Table2[[#This Row],[Wins ]]+Table3[[#This Row],[2Pot]]*0.5)</f>
        <v>0</v>
      </c>
      <c r="C54" s="18">
        <f>SUM(Table2[[#This Row],[number of rounds]])</f>
        <v>0</v>
      </c>
      <c r="D54" s="18">
        <f>SUM(Table2[[#This Row],[2 Pot]])</f>
        <v>0</v>
      </c>
      <c r="E54" s="20" t="e">
        <f>AVERAGE(Table2[[#This Row],[11-Mar]:[15-Jul]])</f>
        <v>#DIV/0!</v>
      </c>
    </row>
    <row r="55" spans="1:5" ht="18" x14ac:dyDescent="0.55000000000000004">
      <c r="A55" s="21" t="str">
        <f>Table2[[#This Row],[Golfer]]</f>
        <v>Larry Chapell</v>
      </c>
      <c r="B55" s="17">
        <f>SUM(Table2[[#This Row],[Wins ]]+Table3[[#This Row],[2Pot]]*0.5)</f>
        <v>0.5</v>
      </c>
      <c r="C55" s="18">
        <f>SUM(Table2[[#This Row],[number of rounds]])</f>
        <v>1</v>
      </c>
      <c r="D55" s="18">
        <f>SUM(Table2[[#This Row],[2 Pot]])</f>
        <v>1</v>
      </c>
      <c r="E55" s="20">
        <f>AVERAGE(Table2[[#This Row],[11-Mar]:[15-Jul]])</f>
        <v>3</v>
      </c>
    </row>
    <row r="56" spans="1:5" ht="18" x14ac:dyDescent="0.55000000000000004">
      <c r="A56" s="21" t="str">
        <f>Table2[[#This Row],[Golfer]]</f>
        <v>Little Dick P</v>
      </c>
      <c r="B56" s="17">
        <f>SUM(Table2[[#This Row],[Wins ]]+Table3[[#This Row],[2Pot]]*0.5)</f>
        <v>0</v>
      </c>
      <c r="C56" s="18">
        <f>SUM(Table2[[#This Row],[number of rounds]])</f>
        <v>0</v>
      </c>
      <c r="D56" s="18">
        <f>SUM(Table2[[#This Row],[2 Pot]])</f>
        <v>0</v>
      </c>
      <c r="E56" s="20" t="e">
        <f>AVERAGE(Table2[[#This Row],[11-Mar]:[15-Jul]])</f>
        <v>#DIV/0!</v>
      </c>
    </row>
    <row r="57" spans="1:5" ht="18" x14ac:dyDescent="0.55000000000000004">
      <c r="A57" s="21" t="str">
        <f>Table2[[#This Row],[Golfer]]</f>
        <v>Mark Foley</v>
      </c>
      <c r="B57" s="17">
        <f>SUM(Table2[[#This Row],[Wins ]]+Table3[[#This Row],[2Pot]]*0.5)</f>
        <v>0</v>
      </c>
      <c r="C57" s="18">
        <f>SUM(Table2[[#This Row],[number of rounds]])</f>
        <v>0</v>
      </c>
      <c r="D57" s="18">
        <f>SUM(Table2[[#This Row],[2 Pot]])</f>
        <v>0</v>
      </c>
      <c r="E57" s="20" t="e">
        <f>AVERAGE(Table2[[#This Row],[11-Mar]:[15-Jul]])</f>
        <v>#DIV/0!</v>
      </c>
    </row>
    <row r="58" spans="1:5" ht="18" x14ac:dyDescent="0.55000000000000004">
      <c r="A58" s="21" t="str">
        <f>Table2[[#This Row],[Golfer]]</f>
        <v>Mason Wilkins</v>
      </c>
      <c r="B58" s="17">
        <f>SUM(Table2[[#This Row],[Wins ]]+Table3[[#This Row],[2Pot]]*0.5)</f>
        <v>0</v>
      </c>
      <c r="C58" s="18">
        <f>SUM(Table2[[#This Row],[number of rounds]])</f>
        <v>0</v>
      </c>
      <c r="D58" s="18">
        <f>SUM(Table2[[#This Row],[2 Pot]])</f>
        <v>0</v>
      </c>
      <c r="E58" s="19" t="e">
        <f>AVERAGE(Table2[[#This Row],[11-Mar]:[15-Jul]])</f>
        <v>#DIV/0!</v>
      </c>
    </row>
    <row r="59" spans="1:5" ht="18" x14ac:dyDescent="0.55000000000000004">
      <c r="A59" s="21" t="str">
        <f>Table2[[#This Row],[Golfer]]</f>
        <v>Matt Brooks</v>
      </c>
      <c r="B59" s="17">
        <f>SUM(Table2[[#This Row],[Wins ]]+Table3[[#This Row],[2Pot]]*0.5)</f>
        <v>0.5</v>
      </c>
      <c r="C59" s="18">
        <f>SUM(Table2[[#This Row],[number of rounds]])</f>
        <v>1</v>
      </c>
      <c r="D59" s="18">
        <f>SUM(Table2[[#This Row],[2 Pot]])</f>
        <v>1</v>
      </c>
      <c r="E59" s="20">
        <f>AVERAGE(Table2[[#This Row],[11-Mar]:[15-Jul]])</f>
        <v>2</v>
      </c>
    </row>
    <row r="60" spans="1:5" ht="18" x14ac:dyDescent="0.55000000000000004">
      <c r="A60" s="21" t="str">
        <f>Table2[[#This Row],[Golfer]]</f>
        <v>Matt Fauteux</v>
      </c>
      <c r="B60" s="17">
        <f>SUM(Table2[[#This Row],[Wins ]]+Table3[[#This Row],[2Pot]]*0.5)</f>
        <v>0</v>
      </c>
      <c r="C60" s="18">
        <f>SUM(Table2[[#This Row],[number of rounds]])</f>
        <v>1</v>
      </c>
      <c r="D60" s="18">
        <f>SUM(Table2[[#This Row],[2 Pot]])</f>
        <v>0</v>
      </c>
      <c r="E60" s="27">
        <f>AVERAGE(Table2[[#This Row],[11-Mar]:[15-Jul]])</f>
        <v>3</v>
      </c>
    </row>
    <row r="61" spans="1:5" ht="18" x14ac:dyDescent="0.55000000000000004">
      <c r="A61" s="21" t="str">
        <f>Table2[[#This Row],[Golfer]]</f>
        <v>Matt Torcasso</v>
      </c>
      <c r="B61" s="17">
        <f>SUM(Table2[[#This Row],[Wins ]]+Table3[[#This Row],[2Pot]]*0.5)</f>
        <v>1.5</v>
      </c>
      <c r="C61" s="18">
        <f>SUM(Table2[[#This Row],[number of rounds]])</f>
        <v>6</v>
      </c>
      <c r="D61" s="18">
        <f>SUM(Table2[[#This Row],[2 Pot]])</f>
        <v>1</v>
      </c>
      <c r="E61" s="20">
        <f>AVERAGE(Table2[[#This Row],[11-Mar]:[15-Jul]])</f>
        <v>0</v>
      </c>
    </row>
    <row r="62" spans="1:5" ht="18" x14ac:dyDescent="0.55000000000000004">
      <c r="A62" s="21" t="str">
        <f>Table2[[#This Row],[Golfer]]</f>
        <v>Michael Hall</v>
      </c>
      <c r="B62" s="17">
        <f>SUM(Table2[[#This Row],[Wins ]]+Table3[[#This Row],[2Pot]]*0.5)</f>
        <v>0</v>
      </c>
      <c r="C62" s="18">
        <f>SUM(Table2[[#This Row],[number of rounds]])</f>
        <v>0</v>
      </c>
      <c r="D62" s="18">
        <f>SUM(Table2[[#This Row],[2 Pot]])</f>
        <v>0</v>
      </c>
      <c r="E62" s="27" t="e">
        <f>AVERAGE(Table2[[#This Row],[11-Mar]:[15-Jul]])</f>
        <v>#DIV/0!</v>
      </c>
    </row>
    <row r="63" spans="1:5" ht="18" x14ac:dyDescent="0.55000000000000004">
      <c r="A63" s="21" t="str">
        <f>Table2[[#This Row],[Golfer]]</f>
        <v>Micheal Hugins</v>
      </c>
      <c r="B63" s="17">
        <f>SUM(Table2[[#This Row],[Wins ]])</f>
        <v>0</v>
      </c>
      <c r="C63" s="18">
        <f>SUM(Table2[[#This Row],[number of rounds]])</f>
        <v>0</v>
      </c>
      <c r="D63" s="18">
        <f>SUM(Table2[[#This Row],[2 Pot]])</f>
        <v>0</v>
      </c>
      <c r="E63" s="19" t="e">
        <f>AVERAGE(Table2[[#This Row],[11-Mar]:[15-Jul]])</f>
        <v>#DIV/0!</v>
      </c>
    </row>
    <row r="64" spans="1:5" ht="18" x14ac:dyDescent="0.55000000000000004">
      <c r="A64" s="21" t="str">
        <f>Table2[[#This Row],[Golfer]]</f>
        <v>Mike Guzman</v>
      </c>
      <c r="B64" s="17">
        <f>SUM(Table2[[#This Row],[Wins ]]+Table3[[#This Row],[2Pot]]*0.5)</f>
        <v>1</v>
      </c>
      <c r="C64" s="18">
        <f>SUM(Table2[[#This Row],[number of rounds]])</f>
        <v>8</v>
      </c>
      <c r="D64" s="18">
        <f>SUM(Table2[[#This Row],[2 Pot]])</f>
        <v>0</v>
      </c>
      <c r="E64" s="20">
        <f>AVERAGE(Table2[[#This Row],[11-Mar]:[15-Jul]])</f>
        <v>2.625</v>
      </c>
    </row>
    <row r="65" spans="1:5" ht="18" x14ac:dyDescent="0.55000000000000004">
      <c r="A65" s="21" t="str">
        <f>Table2[[#This Row],[Golfer]]</f>
        <v>Mike King</v>
      </c>
      <c r="B65" s="17">
        <f>SUM(Table2[[#This Row],[Wins ]]+Table3[[#This Row],[2Pot]]*0.5)</f>
        <v>0</v>
      </c>
      <c r="C65" s="18">
        <f>SUM(Table2[[#This Row],[number of rounds]])</f>
        <v>0</v>
      </c>
      <c r="D65" s="18">
        <f>SUM(Table2[[#This Row],[2 Pot]])</f>
        <v>0</v>
      </c>
      <c r="E65" s="20" t="e">
        <f>AVERAGE(Table2[[#This Row],[11-Mar]:[15-Jul]])</f>
        <v>#DIV/0!</v>
      </c>
    </row>
    <row r="66" spans="1:5" ht="18" x14ac:dyDescent="0.55000000000000004">
      <c r="A66" s="21" t="str">
        <f>Table2[[#This Row],[Golfer]]</f>
        <v>Mike Morris</v>
      </c>
      <c r="B66" s="17">
        <f>SUM(Table2[[#This Row],[Wins ]]+Table3[[#This Row],[2Pot]]*0.5)</f>
        <v>0</v>
      </c>
      <c r="C66" s="18">
        <f>SUM(Table2[[#This Row],[number of rounds]])</f>
        <v>3</v>
      </c>
      <c r="D66" s="18">
        <f>SUM(Table2[[#This Row],[2 Pot]])</f>
        <v>0</v>
      </c>
      <c r="E66" s="20">
        <f>AVERAGE(Table2[[#This Row],[11-Mar]:[15-Jul]])</f>
        <v>1.3333333333333333</v>
      </c>
    </row>
    <row r="67" spans="1:5" ht="18" x14ac:dyDescent="0.55000000000000004">
      <c r="A67" s="21" t="str">
        <f>Table2[[#This Row],[Golfer]]</f>
        <v>Mike Spoon</v>
      </c>
      <c r="B67" s="17">
        <f>SUM(Table2[[#This Row],[Wins ]]+Table3[[#This Row],[2Pot]]*0.5)</f>
        <v>1</v>
      </c>
      <c r="C67" s="18">
        <f>SUM(Table2[[#This Row],[number of rounds]])</f>
        <v>8</v>
      </c>
      <c r="D67" s="18">
        <f>SUM(Table2[[#This Row],[2 Pot]])</f>
        <v>0</v>
      </c>
      <c r="E67" s="32">
        <f>AVERAGE(Table2[[#This Row],[11-Mar]:[15-Jul]])</f>
        <v>2.125</v>
      </c>
    </row>
    <row r="68" spans="1:5" ht="18" x14ac:dyDescent="0.55000000000000004">
      <c r="A68" s="21" t="str">
        <f>Table2[[#This Row],[Golfer]]</f>
        <v>Mike Whitfield</v>
      </c>
      <c r="B68" s="17">
        <f>SUM(Table2[[#This Row],[Wins ]]+Table3[[#This Row],[2Pot]]*0.5)</f>
        <v>0</v>
      </c>
      <c r="C68" s="18">
        <f>SUM(Table2[[#This Row],[number of rounds]])</f>
        <v>5</v>
      </c>
      <c r="D68" s="18">
        <f>SUM(Table2[[#This Row],[2 Pot]])</f>
        <v>0</v>
      </c>
      <c r="E68" s="33">
        <f>AVERAGE(Table2[[#This Row],[11-Mar]:[15-Jul]])</f>
        <v>3</v>
      </c>
    </row>
    <row r="69" spans="1:5" ht="18" x14ac:dyDescent="0.55000000000000004">
      <c r="A69" s="21" t="str">
        <f>Table2[[#This Row],[Golfer]]</f>
        <v>Otis Collier</v>
      </c>
      <c r="B69" s="17">
        <f>SUM(Table2[[#This Row],[Wins ]]+Table3[[#This Row],[2Pot]]*0.5)</f>
        <v>0</v>
      </c>
      <c r="C69" s="18">
        <f>SUM(Table2[[#This Row],[number of rounds]])</f>
        <v>0</v>
      </c>
      <c r="D69" s="18">
        <f>SUM(Table2[[#This Row],[2 Pot]])</f>
        <v>0</v>
      </c>
      <c r="E69" s="32" t="e">
        <f>AVERAGE(Table2[[#This Row],[11-Mar]:[15-Jul]])</f>
        <v>#DIV/0!</v>
      </c>
    </row>
    <row r="70" spans="1:5" ht="18" x14ac:dyDescent="0.55000000000000004">
      <c r="A70" s="21" t="str">
        <f>Table2[[#This Row],[Golfer]]</f>
        <v>Owen Merritt</v>
      </c>
      <c r="B70" s="17">
        <f>SUM(Table2[[#This Row],[Wins ]]+Table3[[#This Row],[2Pot]]*0.5)</f>
        <v>0</v>
      </c>
      <c r="C70" s="18">
        <f>SUM(Table2[[#This Row],[number of rounds]])</f>
        <v>0</v>
      </c>
      <c r="D70" s="18">
        <f>SUM(Table2[[#This Row],[2 Pot]])</f>
        <v>0</v>
      </c>
      <c r="E70" s="33" t="e">
        <f>AVERAGE(Table2[[#This Row],[11-Mar]:[15-Jul]])</f>
        <v>#DIV/0!</v>
      </c>
    </row>
    <row r="71" spans="1:5" ht="18" x14ac:dyDescent="0.55000000000000004">
      <c r="A71" s="21" t="str">
        <f>Table2[[#This Row],[Golfer]]</f>
        <v>Patric Westbrook</v>
      </c>
      <c r="B71" s="17">
        <f>SUM(Table2[[#This Row],[Wins ]]+Table3[[#This Row],[2Pot]]*0.5)</f>
        <v>1.5</v>
      </c>
      <c r="C71" s="18">
        <f>SUM(Table2[[#This Row],[number of rounds]])</f>
        <v>3</v>
      </c>
      <c r="D71" s="18">
        <f>SUM(Table2[[#This Row],[2 Pot]])</f>
        <v>1</v>
      </c>
      <c r="E71" s="32">
        <f>AVERAGE(Table2[[#This Row],[11-Mar]:[15-Jul]])</f>
        <v>3.3333333333333335</v>
      </c>
    </row>
    <row r="72" spans="1:5" ht="18" x14ac:dyDescent="0.55000000000000004">
      <c r="A72" s="21" t="str">
        <f>Table2[[#This Row],[Golfer]]</f>
        <v>Paul Ratkovic</v>
      </c>
      <c r="B72" s="17">
        <f>SUM(Table2[[#This Row],[Wins ]]+Table3[[#This Row],[2Pot]]*0.5)</f>
        <v>1</v>
      </c>
      <c r="C72" s="18">
        <f>SUM(Table2[[#This Row],[number of rounds]])</f>
        <v>2</v>
      </c>
      <c r="D72" s="18">
        <f>SUM(Table2[[#This Row],[2 Pot]])</f>
        <v>0</v>
      </c>
      <c r="E72" s="32">
        <f>AVERAGE(Table2[[#This Row],[11-Mar]:[15-Jul]])</f>
        <v>0</v>
      </c>
    </row>
    <row r="73" spans="1:5" ht="18" x14ac:dyDescent="0.55000000000000004">
      <c r="A73" s="21" t="str">
        <f>Table2[[#This Row],[Golfer]]</f>
        <v>Phillip Herndon</v>
      </c>
      <c r="B73" s="17">
        <f>SUM(Table2[[#This Row],[Wins ]]+Table3[[#This Row],[2Pot]]*0.5)</f>
        <v>0</v>
      </c>
      <c r="C73" s="18">
        <f>SUM(Table2[[#This Row],[number of rounds]])</f>
        <v>2</v>
      </c>
      <c r="D73" s="18">
        <f>SUM(Table2[[#This Row],[2 Pot]])</f>
        <v>0</v>
      </c>
      <c r="E73" s="32">
        <f>AVERAGE(Table2[[#This Row],[11-Mar]:[15-Jul]])</f>
        <v>-2</v>
      </c>
    </row>
    <row r="74" spans="1:5" ht="18" x14ac:dyDescent="0.55000000000000004">
      <c r="A74" s="21" t="str">
        <f>Table2[[#This Row],[Golfer]]</f>
        <v>PJ Meade</v>
      </c>
      <c r="B74" s="17">
        <f>SUM(Table2[[#This Row],[Wins ]]+Table3[[#This Row],[2Pot]]*0.5)</f>
        <v>0</v>
      </c>
      <c r="C74" s="18">
        <f>SUM(Table2[[#This Row],[number of rounds]])</f>
        <v>0</v>
      </c>
      <c r="D74" s="18">
        <f>SUM(Table2[[#This Row],[2 Pot]])</f>
        <v>0</v>
      </c>
      <c r="E74" s="32" t="e">
        <f>AVERAGE(Table2[[#This Row],[11-Mar]:[15-Jul]])</f>
        <v>#DIV/0!</v>
      </c>
    </row>
    <row r="75" spans="1:5" ht="18" x14ac:dyDescent="0.55000000000000004">
      <c r="A75" s="21" t="str">
        <f>Table2[[#This Row],[Golfer]]</f>
        <v>Quint Garrett</v>
      </c>
      <c r="B75" s="17">
        <f>SUM(Table2[[#This Row],[Wins ]]+Table3[[#This Row],[2Pot]]*0.5)</f>
        <v>0</v>
      </c>
      <c r="C75" s="18">
        <f>SUM(Table2[[#This Row],[number of rounds]])</f>
        <v>1</v>
      </c>
      <c r="D75" s="18">
        <f>SUM(Table2[[#This Row],[2 Pot]])</f>
        <v>0</v>
      </c>
      <c r="E75" s="11">
        <f>AVERAGE(Table2[[#This Row],[11-Mar]:[15-Jul]])</f>
        <v>0</v>
      </c>
    </row>
    <row r="76" spans="1:5" ht="18" x14ac:dyDescent="0.55000000000000004">
      <c r="A76" s="21" t="str">
        <f>Table2[[#This Row],[Golfer]]</f>
        <v>Rick Whitaker</v>
      </c>
      <c r="B76" s="17">
        <f>SUM(Table2[[#This Row],[Wins ]]+Table3[[#This Row],[2Pot]]*0.5)</f>
        <v>0.5</v>
      </c>
      <c r="C76" s="18">
        <f>SUM(Table2[[#This Row],[number of rounds]])</f>
        <v>4</v>
      </c>
      <c r="D76" s="18">
        <f>SUM(Table2[[#This Row],[2 Pot]])</f>
        <v>1</v>
      </c>
      <c r="E76" s="32">
        <f>AVERAGE(Table2[[#This Row],[11-Mar]:[15-Jul]])</f>
        <v>4</v>
      </c>
    </row>
    <row r="77" spans="1:5" ht="18" x14ac:dyDescent="0.55000000000000004">
      <c r="A77" s="21" t="str">
        <f>Table2[[#This Row],[Golfer]]</f>
        <v>Rob Fenlon</v>
      </c>
      <c r="B77" s="17">
        <f>SUM(Table2[[#This Row],[Wins ]]+Table3[[#This Row],[2Pot]]*0.5)</f>
        <v>0</v>
      </c>
      <c r="C77" s="18">
        <f>SUM(Table2[[#This Row],[number of rounds]])</f>
        <v>1</v>
      </c>
      <c r="D77" s="18">
        <f>SUM(Table2[[#This Row],[2 Pot]])</f>
        <v>0</v>
      </c>
      <c r="E77" s="32">
        <f>AVERAGE(Table2[[#This Row],[11-Mar]:[15-Jul]])</f>
        <v>4</v>
      </c>
    </row>
    <row r="78" spans="1:5" ht="18" x14ac:dyDescent="0.55000000000000004">
      <c r="A78" s="21" t="str">
        <f>Table2[[#This Row],[Golfer]]</f>
        <v>Sam Paynter</v>
      </c>
      <c r="B78" s="17">
        <f>SUM(Table2[[#This Row],[Wins ]]+Table3[[#This Row],[2Pot]]*0.5)</f>
        <v>0</v>
      </c>
      <c r="C78" s="18">
        <f>SUM(Table2[[#This Row],[number of rounds]])</f>
        <v>4</v>
      </c>
      <c r="D78" s="18">
        <f>SUM(Table2[[#This Row],[2 Pot]])</f>
        <v>0</v>
      </c>
      <c r="E78" s="11">
        <f>AVERAGE(Table2[[#This Row],[11-Mar]:[15-Jul]])</f>
        <v>3.5</v>
      </c>
    </row>
    <row r="79" spans="1:5" ht="18" x14ac:dyDescent="0.55000000000000004">
      <c r="A79" s="21" t="s">
        <v>100</v>
      </c>
      <c r="B79" s="17">
        <f>SUM(Table2[[#This Row],[Wins ]]+Table3[[#This Row],[2Pot]]*0.5)</f>
        <v>1.5</v>
      </c>
      <c r="C79" s="18">
        <f>SUM(Table2[[#This Row],[number of rounds]])</f>
        <v>3</v>
      </c>
      <c r="D79" s="18">
        <f>SUM(Table2[[#This Row],[2 Pot]])</f>
        <v>1</v>
      </c>
      <c r="E79" s="33">
        <f>AVERAGE(Table2[[#This Row],[11-Mar]:[15-Jul]])</f>
        <v>1.3333333333333333</v>
      </c>
    </row>
    <row r="80" spans="1:5" ht="18" x14ac:dyDescent="0.55000000000000004">
      <c r="A80" s="21" t="str">
        <f>Table2[[#This Row],[Golfer]]</f>
        <v xml:space="preserve">Steve Loftis </v>
      </c>
      <c r="B80" s="17">
        <f>SUM(Table2[[#This Row],[Wins ]]+Table3[[#This Row],[2Pot]]*0.5)</f>
        <v>0</v>
      </c>
      <c r="C80" s="18">
        <f>SUM(Table2[[#This Row],[number of rounds]])</f>
        <v>1</v>
      </c>
      <c r="D80" s="18">
        <f>SUM(Table2[[#This Row],[2 Pot]])</f>
        <v>0</v>
      </c>
      <c r="E80" s="32">
        <f>AVERAGE(Table2[[#This Row],[11-Mar]:[15-Jul]])</f>
        <v>0</v>
      </c>
    </row>
    <row r="81" spans="1:8" ht="18" x14ac:dyDescent="0.55000000000000004">
      <c r="A81" s="21" t="str">
        <f>Table2[[#This Row],[Golfer]]</f>
        <v>Steve Wright</v>
      </c>
      <c r="B81" s="17">
        <f>SUM(Table2[[#This Row],[Wins ]]+Table3[[#This Row],[2Pot]]*0.5)</f>
        <v>0</v>
      </c>
      <c r="C81" s="18">
        <f>SUM(Table2[[#This Row],[number of rounds]])</f>
        <v>1</v>
      </c>
      <c r="D81" s="18">
        <f>SUM(Table2[[#This Row],[2 Pot]])</f>
        <v>0</v>
      </c>
      <c r="E81" s="32">
        <f>AVERAGE(Table2[[#This Row],[11-Mar]:[15-Jul]])</f>
        <v>0</v>
      </c>
    </row>
    <row r="82" spans="1:8" ht="18" x14ac:dyDescent="0.55000000000000004">
      <c r="A82" s="21" t="str">
        <f>Table2[[#This Row],[Golfer]]</f>
        <v>Tim C</v>
      </c>
      <c r="B82" s="17">
        <f>SUM(Table2[[#This Row],[Wins ]]+Table3[[#This Row],[2Pot]]*0.5)</f>
        <v>0</v>
      </c>
      <c r="C82" s="18">
        <f>SUM(Table2[[#This Row],[number of rounds]])</f>
        <v>1</v>
      </c>
      <c r="D82" s="18">
        <f>SUM(Table2[[#This Row],[2 Pot]])</f>
        <v>0</v>
      </c>
      <c r="E82" s="32">
        <f>AVERAGE(Table2[[#This Row],[11-Mar]:[15-Jul]])</f>
        <v>-1</v>
      </c>
    </row>
    <row r="83" spans="1:8" ht="18" x14ac:dyDescent="0.55000000000000004">
      <c r="A83" s="42" t="str">
        <f>Table2[[#This Row],[Golfer]]</f>
        <v>Tim Jones</v>
      </c>
      <c r="B83" s="41">
        <f>SUM(Table2[[#This Row],[Wins ]])</f>
        <v>0</v>
      </c>
      <c r="C83" s="26">
        <f>SUM(Table2[[#This Row],[number of rounds]])</f>
        <v>7</v>
      </c>
      <c r="D83" s="18">
        <f>SUM(Table2[[#This Row],[2 Pot]])</f>
        <v>0</v>
      </c>
      <c r="E83" s="11">
        <f>AVERAGE(Table2[[#This Row],[11-Mar]:[15-Jul]])</f>
        <v>3</v>
      </c>
    </row>
    <row r="84" spans="1:8" ht="18" x14ac:dyDescent="0.55000000000000004">
      <c r="A84" s="42" t="str">
        <f>Table2[[#This Row],[Golfer]]</f>
        <v>Tim M</v>
      </c>
      <c r="B84" s="41">
        <f>SUM(Table2[[#This Row],[Wins ]])</f>
        <v>0</v>
      </c>
      <c r="C84" s="26">
        <f>SUM(Table2[[#This Row],[number of rounds]])</f>
        <v>0</v>
      </c>
      <c r="D84" s="18">
        <f>SUM(Table2[[#This Row],[2 Pot]])</f>
        <v>0</v>
      </c>
      <c r="E84" s="11" t="e">
        <f>AVERAGE(Table2[[#This Row],[11-Mar]:[15-Jul]])</f>
        <v>#DIV/0!</v>
      </c>
    </row>
    <row r="85" spans="1:8" ht="18" x14ac:dyDescent="0.55000000000000004">
      <c r="A85" s="42" t="str">
        <f>Table2[[#This Row],[Golfer]]</f>
        <v>Tim Rutt</v>
      </c>
      <c r="B85" s="41">
        <f>SUM(Table2[[#This Row],[Wins ]])</f>
        <v>0</v>
      </c>
      <c r="C85" s="26">
        <f>SUM(Table2[[#This Row],[number of rounds]])</f>
        <v>2</v>
      </c>
      <c r="D85" s="18">
        <f>SUM(Table2[[#This Row],[2 Pot]])</f>
        <v>0</v>
      </c>
      <c r="E85" s="11">
        <f>AVERAGE(Table2[[#This Row],[11-Mar]:[15-Jul]])</f>
        <v>1</v>
      </c>
    </row>
    <row r="86" spans="1:8" ht="18" x14ac:dyDescent="0.55000000000000004">
      <c r="A86" s="40" t="str">
        <f>Table2[[#This Row],[Golfer]]</f>
        <v>Tom Chandler</v>
      </c>
      <c r="B86" s="41">
        <f>SUM(Table2[[#This Row],[Wins ]])</f>
        <v>0</v>
      </c>
      <c r="C86" s="26">
        <f>SUM(Table2[[#This Row],[number of rounds]])</f>
        <v>0</v>
      </c>
      <c r="D86" s="18">
        <f>SUM(Table2[[#This Row],[2 Pot]])</f>
        <v>0</v>
      </c>
      <c r="E86" s="11" t="e">
        <f>AVERAGE(Table2[[#This Row],[11-Mar]:[15-Jul]])</f>
        <v>#DIV/0!</v>
      </c>
    </row>
    <row r="87" spans="1:8" ht="18" x14ac:dyDescent="0.55000000000000004">
      <c r="A87" s="40" t="str">
        <f>Table2[[#This Row],[Golfer]]</f>
        <v>Walter Bach</v>
      </c>
      <c r="B87" s="41">
        <f>SUM(Table2[[#This Row],[Wins ]])</f>
        <v>0</v>
      </c>
      <c r="C87" s="26">
        <f>SUM(Table2[[#This Row],[number of rounds]])</f>
        <v>4</v>
      </c>
      <c r="D87" s="18">
        <f>SUM(Table2[[#This Row],[2 Pot]])</f>
        <v>0</v>
      </c>
      <c r="E87" s="11">
        <f>AVERAGE(Table2[[#This Row],[11-Mar]:[15-Jul]])</f>
        <v>1.25</v>
      </c>
    </row>
    <row r="88" spans="1:8" ht="18" x14ac:dyDescent="0.55000000000000004">
      <c r="A88" s="40" t="str">
        <f>Table2[[#This Row],[Golfer]]</f>
        <v>Wayne Ball</v>
      </c>
      <c r="B88" s="41">
        <f>SUM(Table2[[#This Row],[Wins ]])</f>
        <v>2</v>
      </c>
      <c r="C88" s="26">
        <f>SUM(Table2[[#This Row],[number of rounds]])</f>
        <v>6</v>
      </c>
      <c r="D88" s="18">
        <f>SUM(Table2[[#This Row],[2 Pot]])</f>
        <v>0</v>
      </c>
      <c r="E88" s="11">
        <f>AVERAGE(Table2[[#This Row],[11-Mar]:[15-Jul]])</f>
        <v>0.5</v>
      </c>
      <c r="H88" s="43"/>
    </row>
    <row r="89" spans="1:8" ht="18" x14ac:dyDescent="0.55000000000000004">
      <c r="A89" s="40" t="str">
        <f>Table2[[#This Row],[Golfer]]</f>
        <v>Zach Sherman</v>
      </c>
      <c r="B89" s="41">
        <f>SUM(Table2[[#This Row],[Wins ]])</f>
        <v>0</v>
      </c>
      <c r="C89" s="26">
        <f>SUM(Table2[[#This Row],[number of rounds]])</f>
        <v>0</v>
      </c>
      <c r="D89" s="18">
        <f>SUM(Table2[[#This Row],[2 Pot]])</f>
        <v>0</v>
      </c>
      <c r="E89" s="11" t="e">
        <f>AVERAGE(Table2[[#This Row],[11-Mar]:[15-Jul]])</f>
        <v>#DIV/0!</v>
      </c>
    </row>
    <row r="90" spans="1:8" ht="18" x14ac:dyDescent="0.55000000000000004">
      <c r="A90" s="40" t="str">
        <f>Table2[[#This Row],[Golfer]]</f>
        <v xml:space="preserve">Zack Wright </v>
      </c>
      <c r="B90" s="41">
        <f>SUM(Table2[[#This Row],[Wins ]])</f>
        <v>0</v>
      </c>
      <c r="C90" s="26">
        <f>SUM(Table2[[#This Row],[number of rounds]])</f>
        <v>1</v>
      </c>
      <c r="D90" s="18">
        <f>SUM(Table2[[#This Row],[2 Pot]])</f>
        <v>0</v>
      </c>
      <c r="E90" s="11">
        <f>AVERAGE(Table2[[#This Row],[11-Mar]:[15-Jul]])</f>
        <v>0</v>
      </c>
    </row>
    <row r="91" spans="1:8" ht="18" x14ac:dyDescent="0.55000000000000004">
      <c r="A91" s="30"/>
      <c r="B91" s="31"/>
      <c r="C91" s="26">
        <f>SUM(C2:C90)</f>
        <v>190</v>
      </c>
      <c r="D91" s="18"/>
    </row>
  </sheetData>
  <pageMargins left="0.7" right="0.7" top="0.75" bottom="0.75" header="0.3" footer="0.3"/>
  <pageSetup scale="45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51D3D-EE17-41EC-8661-CB9869687656}">
  <dimension ref="A1"/>
  <sheetViews>
    <sheetView topLeftCell="A52" workbookViewId="0"/>
  </sheetViews>
  <sheetFormatPr defaultRowHeight="14.25" x14ac:dyDescent="0.45"/>
  <sheetData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F62F-5E31-4BE9-8A3A-EA63EA0B84BB}">
  <dimension ref="A1:B83"/>
  <sheetViews>
    <sheetView workbookViewId="0">
      <selection activeCell="D110" sqref="D110"/>
    </sheetView>
  </sheetViews>
  <sheetFormatPr defaultRowHeight="14.25" x14ac:dyDescent="0.45"/>
  <cols>
    <col min="1" max="1" width="19.265625" bestFit="1" customWidth="1"/>
    <col min="2" max="2" width="9" customWidth="1"/>
  </cols>
  <sheetData>
    <row r="1" spans="1:2" ht="35.25" x14ac:dyDescent="0.45">
      <c r="A1" s="28" t="s">
        <v>21</v>
      </c>
      <c r="B1" s="29" t="s">
        <v>22</v>
      </c>
    </row>
    <row r="2" spans="1:2" ht="18" x14ac:dyDescent="0.55000000000000004">
      <c r="A2" s="24" t="str">
        <f>Table2[[#This Row],[Golfer]]</f>
        <v>Andrew George</v>
      </c>
      <c r="B2" s="25">
        <f>SUM(Table2[[#This Row],[2 Pot]])</f>
        <v>1</v>
      </c>
    </row>
    <row r="3" spans="1:2" ht="18" x14ac:dyDescent="0.55000000000000004">
      <c r="A3" s="24" t="str">
        <f>Table2[[#This Row],[Golfer]]</f>
        <v>Andrew Hahn</v>
      </c>
      <c r="B3" s="25">
        <f>SUM(Table2[[#This Row],[2 Pot]])</f>
        <v>0</v>
      </c>
    </row>
    <row r="4" spans="1:2" ht="18" x14ac:dyDescent="0.55000000000000004">
      <c r="A4" s="24" t="str">
        <f>Table2[[#This Row],[Golfer]]</f>
        <v>Andrew Quick</v>
      </c>
      <c r="B4" s="25">
        <f>SUM(Table2[[#This Row],[2 Pot]])</f>
        <v>0</v>
      </c>
    </row>
    <row r="5" spans="1:2" ht="18" x14ac:dyDescent="0.55000000000000004">
      <c r="A5" s="24" t="str">
        <f>Table2[[#This Row],[Golfer]]</f>
        <v>Andrew white</v>
      </c>
      <c r="B5" s="25">
        <f>SUM(Table2[[#This Row],[2 Pot]])</f>
        <v>0</v>
      </c>
    </row>
    <row r="6" spans="1:2" ht="18" x14ac:dyDescent="0.55000000000000004">
      <c r="A6" s="24" t="str">
        <f>Table2[[#This Row],[Golfer]]</f>
        <v>Art Menuis</v>
      </c>
      <c r="B6" s="25">
        <f>SUM(Table2[[#This Row],[2 Pot]])</f>
        <v>0</v>
      </c>
    </row>
    <row r="7" spans="1:2" ht="18" x14ac:dyDescent="0.55000000000000004">
      <c r="A7" s="24" t="str">
        <f>Table2[[#This Row],[Golfer]]</f>
        <v>Barb Doenges</v>
      </c>
      <c r="B7" s="25">
        <f>SUM(Table2[[#This Row],[2 Pot]])</f>
        <v>0</v>
      </c>
    </row>
    <row r="8" spans="1:2" ht="18" x14ac:dyDescent="0.55000000000000004">
      <c r="A8" s="24" t="str">
        <f>Table2[[#This Row],[Golfer]]</f>
        <v>Barry Perry</v>
      </c>
      <c r="B8" s="25">
        <f>SUM(Table2[[#This Row],[2 Pot]])</f>
        <v>0</v>
      </c>
    </row>
    <row r="9" spans="1:2" ht="18" x14ac:dyDescent="0.55000000000000004">
      <c r="A9" s="24" t="str">
        <f>Table2[[#This Row],[Golfer]]</f>
        <v>Beth Ruggles</v>
      </c>
      <c r="B9" s="25">
        <f>SUM(Table2[[#This Row],[2 Pot]])</f>
        <v>0</v>
      </c>
    </row>
    <row r="10" spans="1:2" ht="18" x14ac:dyDescent="0.55000000000000004">
      <c r="A10" s="24" t="str">
        <f>Table2[[#This Row],[Golfer]]</f>
        <v>Bill Elkins</v>
      </c>
      <c r="B10" s="25">
        <f>SUM(Table2[[#This Row],[2 Pot]])</f>
        <v>0</v>
      </c>
    </row>
    <row r="11" spans="1:2" ht="18" x14ac:dyDescent="0.55000000000000004">
      <c r="A11" s="24" t="str">
        <f>Table2[[#This Row],[Golfer]]</f>
        <v>Bill Stone</v>
      </c>
      <c r="B11" s="25">
        <f>SUM(Table2[[#This Row],[2 Pot]])</f>
        <v>0</v>
      </c>
    </row>
    <row r="12" spans="1:2" ht="18" x14ac:dyDescent="0.55000000000000004">
      <c r="A12" s="24" t="str">
        <f>Table2[[#This Row],[Golfer]]</f>
        <v>Bobby Wingate</v>
      </c>
      <c r="B12" s="25">
        <f>SUM(Table2[[#This Row],[2 Pot]])</f>
        <v>0</v>
      </c>
    </row>
    <row r="13" spans="1:2" ht="18" x14ac:dyDescent="0.55000000000000004">
      <c r="A13" s="24" t="str">
        <f>Table2[[#This Row],[Golfer]]</f>
        <v>Brad Grabarek</v>
      </c>
      <c r="B13" s="25">
        <f>SUM(Table2[[#This Row],[2 Pot]])</f>
        <v>1</v>
      </c>
    </row>
    <row r="14" spans="1:2" ht="18" x14ac:dyDescent="0.55000000000000004">
      <c r="A14" s="24" t="str">
        <f>Table2[[#This Row],[Golfer]]</f>
        <v>Braxton Hughes</v>
      </c>
      <c r="B14" s="25">
        <f>SUM(Table2[[#This Row],[2 Pot]])</f>
        <v>0</v>
      </c>
    </row>
    <row r="15" spans="1:2" ht="18" x14ac:dyDescent="0.55000000000000004">
      <c r="A15" s="24" t="str">
        <f>Table2[[#This Row],[Golfer]]</f>
        <v>Brett Dippolito</v>
      </c>
      <c r="B15" s="25">
        <f>SUM(Table2[[#This Row],[2 Pot]])</f>
        <v>0</v>
      </c>
    </row>
    <row r="16" spans="1:2" ht="18" x14ac:dyDescent="0.55000000000000004">
      <c r="A16" s="24" t="str">
        <f>Table2[[#This Row],[Golfer]]</f>
        <v>Brett Walters</v>
      </c>
      <c r="B16" s="25">
        <f>SUM(Table2[[#This Row],[2 Pot]])</f>
        <v>0</v>
      </c>
    </row>
    <row r="17" spans="1:2" ht="18" x14ac:dyDescent="0.55000000000000004">
      <c r="A17" s="24" t="str">
        <f>Table2[[#This Row],[Golfer]]</f>
        <v>Brian Satterfield</v>
      </c>
      <c r="B17" s="25">
        <f>SUM(Table2[[#This Row],[2 Pot]])</f>
        <v>0</v>
      </c>
    </row>
    <row r="18" spans="1:2" ht="18" x14ac:dyDescent="0.55000000000000004">
      <c r="A18" s="24" t="str">
        <f>Table2[[#This Row],[Golfer]]</f>
        <v>Caleb Rodgers</v>
      </c>
      <c r="B18" s="25">
        <f>SUM(Table2[[#This Row],[2 Pot]])</f>
        <v>0</v>
      </c>
    </row>
    <row r="19" spans="1:2" ht="18" x14ac:dyDescent="0.55000000000000004">
      <c r="A19" s="24" t="str">
        <f>Table2[[#This Row],[Golfer]]</f>
        <v>Chris Farrell</v>
      </c>
      <c r="B19" s="25">
        <f>SUM(Table2[[#This Row],[2 Pot]])</f>
        <v>0</v>
      </c>
    </row>
    <row r="20" spans="1:2" ht="18" x14ac:dyDescent="0.55000000000000004">
      <c r="A20" s="24" t="str">
        <f>Table2[[#This Row],[Golfer]]</f>
        <v>Colin White</v>
      </c>
      <c r="B20" s="25">
        <f>SUM(Table2[[#This Row],[2 Pot]])</f>
        <v>0</v>
      </c>
    </row>
    <row r="21" spans="1:2" ht="18" x14ac:dyDescent="0.55000000000000004">
      <c r="A21" s="24" t="str">
        <f>Table2[[#This Row],[Golfer]]</f>
        <v>Colt Westbrook</v>
      </c>
      <c r="B21" s="25">
        <f>SUM(Table2[[#This Row],[2 Pot]])</f>
        <v>0</v>
      </c>
    </row>
    <row r="22" spans="1:2" ht="18" x14ac:dyDescent="0.55000000000000004">
      <c r="A22" s="24" t="str">
        <f>Table2[[#This Row],[Golfer]]</f>
        <v>Dan O</v>
      </c>
      <c r="B22" s="25">
        <f>SUM(Table2[[#This Row],[2 Pot]])</f>
        <v>0</v>
      </c>
    </row>
    <row r="23" spans="1:2" ht="18" x14ac:dyDescent="0.55000000000000004">
      <c r="A23" s="24" t="str">
        <f>Table2[[#This Row],[Golfer]]</f>
        <v>Danny Williams</v>
      </c>
      <c r="B23" s="25">
        <f>SUM(Table2[[#This Row],[2 Pot]])</f>
        <v>0</v>
      </c>
    </row>
    <row r="24" spans="1:2" ht="18" x14ac:dyDescent="0.55000000000000004">
      <c r="A24" s="24" t="str">
        <f>Table2[[#This Row],[Golfer]]</f>
        <v>David Radford</v>
      </c>
      <c r="B24" s="25">
        <f>SUM(Table2[[#This Row],[2 Pot]])</f>
        <v>1</v>
      </c>
    </row>
    <row r="25" spans="1:2" ht="18" x14ac:dyDescent="0.55000000000000004">
      <c r="A25" s="24" t="str">
        <f>Table2[[#This Row],[Golfer]]</f>
        <v>Denis Hayes</v>
      </c>
      <c r="B25" s="25">
        <f>SUM(Table2[[#This Row],[2 Pot]])</f>
        <v>1</v>
      </c>
    </row>
    <row r="26" spans="1:2" ht="18" x14ac:dyDescent="0.55000000000000004">
      <c r="A26" s="24" t="str">
        <f>Table2[[#This Row],[Golfer]]</f>
        <v>Dick Pilotte</v>
      </c>
      <c r="B26" s="25">
        <f>SUM(Table2[[#This Row],[2 Pot]])</f>
        <v>0</v>
      </c>
    </row>
    <row r="27" spans="1:2" ht="18" x14ac:dyDescent="0.55000000000000004">
      <c r="A27" s="24" t="str">
        <f>Table2[[#This Row],[Golfer]]</f>
        <v>Douglass Mac</v>
      </c>
      <c r="B27" s="25">
        <f>SUM(Table2[[#This Row],[2 Pot]])</f>
        <v>0</v>
      </c>
    </row>
    <row r="28" spans="1:2" ht="18" x14ac:dyDescent="0.55000000000000004">
      <c r="A28" s="24" t="str">
        <f>Table2[[#This Row],[Golfer]]</f>
        <v>Drew Froman</v>
      </c>
      <c r="B28" s="25">
        <f>SUM(Table2[[#This Row],[2 Pot]])</f>
        <v>0</v>
      </c>
    </row>
    <row r="29" spans="1:2" ht="18" x14ac:dyDescent="0.55000000000000004">
      <c r="A29" s="24" t="str">
        <f>Table2[[#This Row],[Golfer]]</f>
        <v>Duane W</v>
      </c>
      <c r="B29" s="25">
        <f>SUM(Table2[[#This Row],[2 Pot]])</f>
        <v>0</v>
      </c>
    </row>
    <row r="30" spans="1:2" ht="18" x14ac:dyDescent="0.55000000000000004">
      <c r="A30" s="24" t="str">
        <f>Table2[[#This Row],[Golfer]]</f>
        <v>Evan W</v>
      </c>
      <c r="B30" s="25">
        <f>SUM(Table2[[#This Row],[2 Pot]])</f>
        <v>0</v>
      </c>
    </row>
    <row r="31" spans="1:2" ht="18" x14ac:dyDescent="0.55000000000000004">
      <c r="A31" s="24" t="str">
        <f>Table2[[#This Row],[Golfer]]</f>
        <v>Gerett Hudson</v>
      </c>
      <c r="B31" s="25">
        <f>SUM(Table2[[#This Row],[2 Pot]])</f>
        <v>0</v>
      </c>
    </row>
    <row r="32" spans="1:2" ht="18" x14ac:dyDescent="0.55000000000000004">
      <c r="A32" s="24" t="str">
        <f>Table2[[#This Row],[Golfer]]</f>
        <v>Graham Taylor</v>
      </c>
      <c r="B32" s="25">
        <f>SUM(Table2[[#This Row],[2 Pot]])</f>
        <v>0</v>
      </c>
    </row>
    <row r="33" spans="1:2" ht="18" x14ac:dyDescent="0.55000000000000004">
      <c r="A33" s="24" t="str">
        <f>Table2[[#This Row],[Golfer]]</f>
        <v>Greg Slaughter</v>
      </c>
      <c r="B33" s="25">
        <f>SUM(Table2[[#This Row],[2 Pot]])</f>
        <v>0</v>
      </c>
    </row>
    <row r="34" spans="1:2" ht="18" x14ac:dyDescent="0.55000000000000004">
      <c r="A34" s="24" t="str">
        <f>Table2[[#This Row],[Golfer]]</f>
        <v xml:space="preserve">Hudson Wilkins </v>
      </c>
      <c r="B34" s="25">
        <f>SUM(Table2[[#This Row],[2 Pot]])</f>
        <v>0</v>
      </c>
    </row>
    <row r="35" spans="1:2" ht="18" x14ac:dyDescent="0.55000000000000004">
      <c r="A35" s="24" t="str">
        <f>Table2[[#This Row],[Golfer]]</f>
        <v>Jake Howard</v>
      </c>
      <c r="B35" s="25">
        <f>SUM(Table2[[#This Row],[2 Pot]])</f>
        <v>0</v>
      </c>
    </row>
    <row r="36" spans="1:2" ht="18" x14ac:dyDescent="0.55000000000000004">
      <c r="A36" s="24" t="str">
        <f>Table2[[#This Row],[Golfer]]</f>
        <v>James D</v>
      </c>
      <c r="B36" s="25">
        <f>SUM(Table2[[#This Row],[2 Pot]])</f>
        <v>0</v>
      </c>
    </row>
    <row r="37" spans="1:2" ht="18" x14ac:dyDescent="0.55000000000000004">
      <c r="A37" s="24" t="str">
        <f>Table2[[#This Row],[Golfer]]</f>
        <v>Janet Upchurch</v>
      </c>
      <c r="B37" s="25">
        <f>SUM(Table2[[#This Row],[2 Pot]])</f>
        <v>0</v>
      </c>
    </row>
    <row r="38" spans="1:2" ht="18" x14ac:dyDescent="0.55000000000000004">
      <c r="A38" s="24" t="str">
        <f>Table2[[#This Row],[Golfer]]</f>
        <v>Jason Boucher</v>
      </c>
      <c r="B38" s="25">
        <f>SUM(Table2[[#This Row],[2 Pot]])</f>
        <v>0</v>
      </c>
    </row>
    <row r="39" spans="1:2" ht="18" x14ac:dyDescent="0.55000000000000004">
      <c r="A39" s="24" t="str">
        <f>Table2[[#This Row],[Golfer]]</f>
        <v>Jason Poe</v>
      </c>
      <c r="B39" s="25">
        <f>SUM(Table2[[#This Row],[2 Pot]])</f>
        <v>1</v>
      </c>
    </row>
    <row r="40" spans="1:2" ht="18" x14ac:dyDescent="0.55000000000000004">
      <c r="A40" s="24" t="str">
        <f>Table2[[#This Row],[Golfer]]</f>
        <v>Jay Slaughter</v>
      </c>
      <c r="B40" s="25">
        <f>SUM(Table2[[#This Row],[2 Pot]])</f>
        <v>0</v>
      </c>
    </row>
    <row r="41" spans="1:2" ht="18" x14ac:dyDescent="0.55000000000000004">
      <c r="A41" s="24" t="str">
        <f>Table2[[#This Row],[Golfer]]</f>
        <v xml:space="preserve">Jerry Neal </v>
      </c>
      <c r="B41" s="25">
        <f>SUM(Table2[[#This Row],[2 Pot]])</f>
        <v>0</v>
      </c>
    </row>
    <row r="42" spans="1:2" ht="18" x14ac:dyDescent="0.55000000000000004">
      <c r="A42" s="24" t="str">
        <f>Table2[[#This Row],[Golfer]]</f>
        <v>Jimmy McGuire</v>
      </c>
      <c r="B42" s="25">
        <f>SUM(Table2[[#This Row],[2 Pot]])</f>
        <v>1</v>
      </c>
    </row>
    <row r="43" spans="1:2" ht="18" x14ac:dyDescent="0.55000000000000004">
      <c r="A43" s="24" t="str">
        <f>Table2[[#This Row],[Golfer]]</f>
        <v>Joe McIntyer</v>
      </c>
      <c r="B43" s="25">
        <f>SUM(Table2[[#This Row],[2 Pot]])</f>
        <v>0</v>
      </c>
    </row>
    <row r="44" spans="1:2" ht="18" x14ac:dyDescent="0.55000000000000004">
      <c r="A44" s="24" t="str">
        <f>Table2[[#This Row],[Golfer]]</f>
        <v>Joe Ristiano</v>
      </c>
      <c r="B44" s="25">
        <f>SUM(Table2[[#This Row],[2 Pot]])</f>
        <v>1</v>
      </c>
    </row>
    <row r="45" spans="1:2" ht="18" x14ac:dyDescent="0.55000000000000004">
      <c r="A45" s="24" t="str">
        <f>Table2[[#This Row],[Golfer]]</f>
        <v>Joey Cabrera</v>
      </c>
      <c r="B45" s="25">
        <f>SUM(Table2[[#This Row],[2 Pot]])</f>
        <v>2</v>
      </c>
    </row>
    <row r="46" spans="1:2" ht="18" x14ac:dyDescent="0.55000000000000004">
      <c r="A46" s="24" t="str">
        <f>Table2[[#This Row],[Golfer]]</f>
        <v>John Kenlan</v>
      </c>
      <c r="B46" s="25">
        <f>SUM(Table2[[#This Row],[2 Pot]])</f>
        <v>0</v>
      </c>
    </row>
    <row r="47" spans="1:2" ht="18" x14ac:dyDescent="0.55000000000000004">
      <c r="A47" s="24" t="str">
        <f>Table2[[#This Row],[Golfer]]</f>
        <v>John Sanders</v>
      </c>
      <c r="B47" s="25">
        <f>SUM(Table2[[#This Row],[2 Pot]])</f>
        <v>0</v>
      </c>
    </row>
    <row r="48" spans="1:2" ht="18" x14ac:dyDescent="0.55000000000000004">
      <c r="A48" s="24" t="str">
        <f>Table2[[#This Row],[Golfer]]</f>
        <v>Josh Burns</v>
      </c>
      <c r="B48" s="25">
        <f>SUM(Table2[[#This Row],[2 Pot]])</f>
        <v>2</v>
      </c>
    </row>
    <row r="49" spans="1:2" ht="18" x14ac:dyDescent="0.55000000000000004">
      <c r="A49" s="24" t="str">
        <f>Table2[[#This Row],[Golfer]]</f>
        <v>Josh Edwards</v>
      </c>
      <c r="B49" s="25">
        <f>SUM(Table2[[#This Row],[2 Pot]])</f>
        <v>0</v>
      </c>
    </row>
    <row r="50" spans="1:2" ht="18" x14ac:dyDescent="0.55000000000000004">
      <c r="A50" s="24" t="str">
        <f>Table2[[#This Row],[Golfer]]</f>
        <v>Justin Hall</v>
      </c>
      <c r="B50" s="25">
        <f>SUM(Table2[[#This Row],[2 Pot]])</f>
        <v>0</v>
      </c>
    </row>
    <row r="51" spans="1:2" ht="18" x14ac:dyDescent="0.55000000000000004">
      <c r="A51" s="24" t="str">
        <f>Table2[[#This Row],[Golfer]]</f>
        <v>Keith McClintock</v>
      </c>
      <c r="B51" s="25">
        <f>SUM(Table2[[#This Row],[2 Pot]])</f>
        <v>0</v>
      </c>
    </row>
    <row r="52" spans="1:2" ht="18" x14ac:dyDescent="0.55000000000000004">
      <c r="A52" s="24" t="str">
        <f>Table2[[#This Row],[Golfer]]</f>
        <v>Kevin Stanley</v>
      </c>
      <c r="B52" s="25">
        <f>SUM(Table2[[#This Row],[2 Pot]])</f>
        <v>0</v>
      </c>
    </row>
    <row r="53" spans="1:2" ht="18" x14ac:dyDescent="0.55000000000000004">
      <c r="A53" s="24" t="str">
        <f>Table2[[#This Row],[Golfer]]</f>
        <v>Kevin Wicker</v>
      </c>
      <c r="B53" s="25">
        <f>SUM(Table2[[#This Row],[2 Pot]])</f>
        <v>0</v>
      </c>
    </row>
    <row r="54" spans="1:2" ht="18" x14ac:dyDescent="0.55000000000000004">
      <c r="A54" s="24" t="str">
        <f>Table2[[#This Row],[Golfer]]</f>
        <v>Kirk Brown</v>
      </c>
      <c r="B54" s="25">
        <f>SUM(Table2[[#This Row],[2 Pot]])</f>
        <v>0</v>
      </c>
    </row>
    <row r="55" spans="1:2" ht="18" x14ac:dyDescent="0.55000000000000004">
      <c r="A55" s="24" t="str">
        <f>Table2[[#This Row],[Golfer]]</f>
        <v>Larry Chapell</v>
      </c>
      <c r="B55" s="25">
        <f>SUM(Table2[[#This Row],[2 Pot]])</f>
        <v>1</v>
      </c>
    </row>
    <row r="56" spans="1:2" ht="18" x14ac:dyDescent="0.55000000000000004">
      <c r="A56" s="24" t="str">
        <f>Table2[[#This Row],[Golfer]]</f>
        <v>Little Dick P</v>
      </c>
      <c r="B56" s="25">
        <f>SUM(Table2[[#This Row],[2 Pot]])</f>
        <v>0</v>
      </c>
    </row>
    <row r="57" spans="1:2" ht="18" x14ac:dyDescent="0.55000000000000004">
      <c r="A57" s="24" t="str">
        <f>Table2[[#This Row],[Golfer]]</f>
        <v>Mark Foley</v>
      </c>
      <c r="B57" s="25">
        <f>SUM(Table2[[#This Row],[2 Pot]])</f>
        <v>0</v>
      </c>
    </row>
    <row r="58" spans="1:2" ht="18" x14ac:dyDescent="0.55000000000000004">
      <c r="A58" s="24" t="str">
        <f>Table2[[#This Row],[Golfer]]</f>
        <v>Mason Wilkins</v>
      </c>
      <c r="B58" s="25">
        <f>SUM(Table2[[#This Row],[2 Pot]])</f>
        <v>0</v>
      </c>
    </row>
    <row r="59" spans="1:2" ht="18" x14ac:dyDescent="0.55000000000000004">
      <c r="A59" s="24" t="str">
        <f>Table2[[#This Row],[Golfer]]</f>
        <v>Matt Brooks</v>
      </c>
      <c r="B59" s="25">
        <f>SUM(Table2[[#This Row],[2 Pot]])</f>
        <v>1</v>
      </c>
    </row>
    <row r="60" spans="1:2" ht="18" x14ac:dyDescent="0.55000000000000004">
      <c r="A60" s="24" t="str">
        <f>Table2[[#This Row],[Golfer]]</f>
        <v>Matt Fauteux</v>
      </c>
      <c r="B60" s="25">
        <f>SUM(Table2[[#This Row],[2 Pot]])</f>
        <v>0</v>
      </c>
    </row>
    <row r="61" spans="1:2" ht="18" x14ac:dyDescent="0.55000000000000004">
      <c r="A61" s="24" t="str">
        <f>Table2[[#This Row],[Golfer]]</f>
        <v>Matt Torcasso</v>
      </c>
      <c r="B61" s="25">
        <f>SUM(Table2[[#This Row],[2 Pot]])</f>
        <v>1</v>
      </c>
    </row>
    <row r="62" spans="1:2" ht="18" x14ac:dyDescent="0.55000000000000004">
      <c r="A62" s="24" t="str">
        <f>Table2[[#This Row],[Golfer]]</f>
        <v>Michael Hall</v>
      </c>
      <c r="B62" s="25">
        <f>SUM(Table2[[#This Row],[2 Pot]])</f>
        <v>0</v>
      </c>
    </row>
    <row r="63" spans="1:2" ht="18" x14ac:dyDescent="0.55000000000000004">
      <c r="A63" s="24" t="str">
        <f>Table2[[#This Row],[Golfer]]</f>
        <v>Micheal Hugins</v>
      </c>
      <c r="B63" s="25">
        <f>SUM(Table2[[#This Row],[2 Pot]])</f>
        <v>0</v>
      </c>
    </row>
    <row r="64" spans="1:2" ht="18" x14ac:dyDescent="0.55000000000000004">
      <c r="A64" s="24" t="str">
        <f>Table2[[#This Row],[Golfer]]</f>
        <v>Mike Guzman</v>
      </c>
      <c r="B64" s="25">
        <f>SUM(Table2[[#This Row],[2 Pot]])</f>
        <v>0</v>
      </c>
    </row>
    <row r="65" spans="1:2" ht="18" x14ac:dyDescent="0.55000000000000004">
      <c r="A65" s="24" t="str">
        <f>Table2[[#This Row],[Golfer]]</f>
        <v>Mike King</v>
      </c>
      <c r="B65" s="25">
        <f>SUM(Table2[[#This Row],[2 Pot]])</f>
        <v>0</v>
      </c>
    </row>
    <row r="66" spans="1:2" ht="18" x14ac:dyDescent="0.55000000000000004">
      <c r="A66" s="21" t="str">
        <f>Table2[[#This Row],[Golfer]]</f>
        <v>Mike Morris</v>
      </c>
      <c r="B66" s="23">
        <f>SUM(Table2[[#This Row],[2 Pot]])</f>
        <v>0</v>
      </c>
    </row>
    <row r="67" spans="1:2" ht="18" x14ac:dyDescent="0.55000000000000004">
      <c r="A67" s="21" t="str">
        <f>Table2[[#This Row],[Golfer]]</f>
        <v>Mike Spoon</v>
      </c>
      <c r="B67" s="23">
        <f>SUM(Table2[[#This Row],[2 Pot]])</f>
        <v>0</v>
      </c>
    </row>
    <row r="68" spans="1:2" ht="18" x14ac:dyDescent="0.55000000000000004">
      <c r="A68" s="21" t="str">
        <f>Table2[[#This Row],[Golfer]]</f>
        <v>Mike Whitfield</v>
      </c>
      <c r="B68" s="23">
        <f>SUM(Table2[[#This Row],[2 Pot]])</f>
        <v>0</v>
      </c>
    </row>
    <row r="69" spans="1:2" ht="18" x14ac:dyDescent="0.55000000000000004">
      <c r="A69" s="21" t="str">
        <f>Table2[[#This Row],[Golfer]]</f>
        <v>Otis Collier</v>
      </c>
      <c r="B69" s="23">
        <f>SUM(Table2[[#This Row],[2 Pot]])</f>
        <v>0</v>
      </c>
    </row>
    <row r="70" spans="1:2" ht="18" x14ac:dyDescent="0.55000000000000004">
      <c r="A70" s="21" t="str">
        <f>Table2[[#This Row],[Golfer]]</f>
        <v>Owen Merritt</v>
      </c>
      <c r="B70" s="23">
        <f>SUM(Table2[[#This Row],[2 Pot]])</f>
        <v>0</v>
      </c>
    </row>
    <row r="71" spans="1:2" ht="18" x14ac:dyDescent="0.55000000000000004">
      <c r="A71" s="21" t="str">
        <f>Table2[[#This Row],[Golfer]]</f>
        <v>Patric Westbrook</v>
      </c>
      <c r="B71" s="23">
        <f>SUM(Table2[[#This Row],[2 Pot]])</f>
        <v>1</v>
      </c>
    </row>
    <row r="72" spans="1:2" ht="18" x14ac:dyDescent="0.55000000000000004">
      <c r="A72" s="21" t="str">
        <f>Table2[[#This Row],[Golfer]]</f>
        <v>Paul Ratkovic</v>
      </c>
      <c r="B72" s="23">
        <f>SUM(Table2[[#This Row],[2 Pot]])</f>
        <v>0</v>
      </c>
    </row>
    <row r="73" spans="1:2" ht="18" x14ac:dyDescent="0.55000000000000004">
      <c r="A73" s="21" t="str">
        <f>Table2[[#This Row],[Golfer]]</f>
        <v>Phillip Herndon</v>
      </c>
      <c r="B73" s="23">
        <f>SUM(Table2[[#This Row],[2 Pot]])</f>
        <v>0</v>
      </c>
    </row>
    <row r="74" spans="1:2" ht="18" x14ac:dyDescent="0.55000000000000004">
      <c r="A74" s="21" t="str">
        <f>Table2[[#This Row],[Golfer]]</f>
        <v>PJ Meade</v>
      </c>
      <c r="B74" s="23">
        <f>SUM(Table2[[#This Row],[2 Pot]])</f>
        <v>0</v>
      </c>
    </row>
    <row r="75" spans="1:2" ht="18" x14ac:dyDescent="0.55000000000000004">
      <c r="A75" s="21" t="str">
        <f>Table2[[#This Row],[Golfer]]</f>
        <v>Quint Garrett</v>
      </c>
      <c r="B75" s="23">
        <f>SUM(Table2[[#This Row],[2 Pot]])</f>
        <v>0</v>
      </c>
    </row>
    <row r="76" spans="1:2" ht="18" x14ac:dyDescent="0.55000000000000004">
      <c r="A76" s="21" t="str">
        <f>Table2[[#This Row],[Golfer]]</f>
        <v>Rick Whitaker</v>
      </c>
      <c r="B76" s="23">
        <f>SUM(Table2[[#This Row],[2 Pot]])</f>
        <v>1</v>
      </c>
    </row>
    <row r="77" spans="1:2" ht="18" x14ac:dyDescent="0.55000000000000004">
      <c r="A77" s="21" t="str">
        <f>Table2[[#This Row],[Golfer]]</f>
        <v>Rob Fenlon</v>
      </c>
      <c r="B77" s="23">
        <f>SUM(Table2[[#This Row],[2 Pot]])</f>
        <v>0</v>
      </c>
    </row>
    <row r="78" spans="1:2" ht="18" x14ac:dyDescent="0.55000000000000004">
      <c r="A78" s="21" t="str">
        <f>Table2[[#This Row],[Golfer]]</f>
        <v>Sam Paynter</v>
      </c>
      <c r="B78" s="23">
        <f>SUM(Table2[[#This Row],[2 Pot]])</f>
        <v>0</v>
      </c>
    </row>
    <row r="79" spans="1:2" ht="18" x14ac:dyDescent="0.55000000000000004">
      <c r="A79" s="21" t="str">
        <f>Table2[[#This Row],[Golfer]]</f>
        <v>Scotty Wilkins</v>
      </c>
      <c r="B79" s="23">
        <f>SUM(Table2[[#This Row],[2 Pot]])</f>
        <v>1</v>
      </c>
    </row>
    <row r="80" spans="1:2" ht="18" x14ac:dyDescent="0.55000000000000004">
      <c r="A80" s="21" t="str">
        <f>Table2[[#This Row],[Golfer]]</f>
        <v xml:space="preserve">Steve Loftis </v>
      </c>
      <c r="B80" s="23">
        <f>SUM(Table2[[#This Row],[2 Pot]])</f>
        <v>0</v>
      </c>
    </row>
    <row r="81" spans="1:2" ht="18" x14ac:dyDescent="0.55000000000000004">
      <c r="A81" s="21" t="str">
        <f>Table2[[#This Row],[Golfer]]</f>
        <v>Steve Wright</v>
      </c>
      <c r="B81" s="23">
        <f>SUM(Table2[[#This Row],[2 Pot]])</f>
        <v>0</v>
      </c>
    </row>
    <row r="82" spans="1:2" ht="18" x14ac:dyDescent="0.55000000000000004">
      <c r="A82" s="21" t="str">
        <f>Table2[[#This Row],[Golfer]]</f>
        <v>Tim C</v>
      </c>
      <c r="B82" s="23">
        <f>SUM(Table2[[#This Row],[2 Pot]])</f>
        <v>0</v>
      </c>
    </row>
    <row r="83" spans="1:2" ht="18" x14ac:dyDescent="0.55000000000000004">
      <c r="A83" s="24" t="str">
        <f>Table2[[#This Row],[Golfer]]</f>
        <v>Tim Jones</v>
      </c>
      <c r="B83" s="25">
        <f>SUM(Table2[[#This Row],[2 Pot]])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23ED6DDF68254E8D93018EBF5B265F" ma:contentTypeVersion="17" ma:contentTypeDescription="Create a new document." ma:contentTypeScope="" ma:versionID="0909bd555e9f6d56034cc4a99fca0939">
  <xsd:schema xmlns:xsd="http://www.w3.org/2001/XMLSchema" xmlns:xs="http://www.w3.org/2001/XMLSchema" xmlns:p="http://schemas.microsoft.com/office/2006/metadata/properties" xmlns:ns3="28901c16-d4d5-4d31-a6ad-2d0fba0de9e2" xmlns:ns4="d4f655e1-431c-4afd-8d59-6cad9d770740" targetNamespace="http://schemas.microsoft.com/office/2006/metadata/properties" ma:root="true" ma:fieldsID="44f0f9b3d6feaeb0c5d04d553fcfcbc2" ns3:_="" ns4:_="">
    <xsd:import namespace="28901c16-d4d5-4d31-a6ad-2d0fba0de9e2"/>
    <xsd:import namespace="d4f655e1-431c-4afd-8d59-6cad9d77074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01c16-d4d5-4d31-a6ad-2d0fba0de9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655e1-431c-4afd-8d59-6cad9d7707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4f655e1-431c-4afd-8d59-6cad9d770740" xsi:nil="true"/>
  </documentManagement>
</p:properties>
</file>

<file path=customXml/itemProps1.xml><?xml version="1.0" encoding="utf-8"?>
<ds:datastoreItem xmlns:ds="http://schemas.openxmlformats.org/officeDocument/2006/customXml" ds:itemID="{7C6096FD-A0EB-4FED-A3DA-3BE15A6B7E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901c16-d4d5-4d31-a6ad-2d0fba0de9e2"/>
    <ds:schemaRef ds:uri="d4f655e1-431c-4afd-8d59-6cad9d7707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CEC0AE-0040-4FFE-8843-FBFA7B2A8E3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10BD1FB-D315-412F-8B4D-916035AD280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5B97C3B-856C-4B5A-B09B-A22E704BFD5F}">
  <ds:schemaRefs>
    <ds:schemaRef ds:uri="d4f655e1-431c-4afd-8d59-6cad9d770740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28901c16-d4d5-4d31-a6ad-2d0fba0de9e2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MGA Wed Totals </vt:lpstr>
      <vt:lpstr>Total Wins</vt:lpstr>
      <vt:lpstr>Sheet2</vt:lpstr>
      <vt:lpstr>2Pot</vt:lpstr>
      <vt:lpstr>Sheet2!Print_Area</vt:lpstr>
      <vt:lpstr>'Total Wins'!Print_Area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Burns</dc:creator>
  <cp:keywords/>
  <dc:description/>
  <cp:lastModifiedBy>Josh Burns</cp:lastModifiedBy>
  <cp:revision/>
  <dcterms:created xsi:type="dcterms:W3CDTF">2024-07-23T12:12:00Z</dcterms:created>
  <dcterms:modified xsi:type="dcterms:W3CDTF">2026-05-12T12:39:43Z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0x0101009623ED6DDF68254E8D93018EBF5B265F</vt:lpwstr>
  </property>
</Properties>
</file>